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ichau\Downloads\"/>
    </mc:Choice>
  </mc:AlternateContent>
  <xr:revisionPtr revIDLastSave="0" documentId="8_{408E4143-394E-4D39-8A2D-9071EDCF2EE1}" xr6:coauthVersionLast="47" xr6:coauthVersionMax="47" xr10:uidLastSave="{00000000-0000-0000-0000-000000000000}"/>
  <bookViews>
    <workbookView xWindow="-120" yWindow="-120" windowWidth="29040" windowHeight="1644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5" i="3" l="1"/>
  <c r="F26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<sst xmlns="http://schemas.openxmlformats.org/spreadsheetml/2006/main" count="2017" uniqueCount="319">
  <si>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</si>
  <si>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</si>
  <si>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</si>
  <si>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</si>
  <si>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</si>
  <si>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</si>
  <si>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</si>
  <si>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</si>
  <si>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</si>
  <si>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</si>
  <si>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</si>
  <si>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</si>
  <si>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</si>
  <si>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</si>
  <si>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</si>
  <si>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</si>
  <si>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</si>
  <si>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</si>
  <si>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</si>
  <si>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</si>
  <si>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</si>
  <si>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</si>
  <si>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</si>
  <si>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</si>
  <si>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</si>
  <si>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</si>
  <si>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</si>
  <si>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</si>
  <si>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</si>
  <si>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</si>
  <si>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</si>
  <si>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</si>
  <si>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</si>
  <si>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</si>
  <si>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</si>
  <si>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</si>
  <si>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</si>
  <si>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</si>
  <si>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</si>
  <si>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</si>
  <si>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</si>
  <si>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</si>
  <si>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</si>
  <si>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</si>
  <si>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</si>
  <si>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</si>
  <si>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</si>
  <si>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</si>
  <si>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</si>
  <si>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</si>
  <si>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</si>
  <si>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</si>
  <si>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</si>
  <si>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</si>
  <si>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</si>
  <si>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</si>
  <si>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</si>
  <si>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</si>
  <si>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</si>
  <si>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</si>
  <si>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</si>
  <si>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</si>
  <si>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</si>
  <si>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</si>
  <si>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</si>
  <si>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</si>
  <si>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</si>
  <si>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</si>
  <si>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</si>
  <si>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</si>
  <si>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</si>
  <si>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</si>
  <si>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</si>
  <si>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</si>
  <si>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</si>
  <si>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</si>
  <si>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</si>
  <si>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</si>
  <si>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</si>
  <si>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</si>
  <si>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</si>
  <si>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</si>
  <si>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</si>
  <si>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</si>
  <si>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</si>
  <si>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</si>
  <si>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</si>
  <si>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</si>
  <si>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</si>
  <si>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</si>
  <si>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</si>
  <si>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</si>
  <si>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</si>
  <si>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</si>
  <si>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</si>
  <si>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</si>
  <si>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</si>
  <si>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</si>
  <si>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</si>
  <si>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</si>
  <si>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</si>
  <si>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</si>
  <si>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</si>
  <si>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</si>
  <si>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</si>
  <si>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</si>
  <si>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</si>
  <si>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</si>
  <si>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</si>
  <si>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</si>
  <si>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</si>
  <si>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</si>
  <si>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</si>
  <si>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</si>
  <si>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</si>
  <si>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</si>
  <si>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</si>
  <si>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</si>
  <si>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</si>
  <si>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</si>
  <si>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</si>
  <si>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</si>
  <si>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</si>
  <si>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</si>
  <si>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</si>
  <si>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</si>
  <si>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</si>
  <si>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</si>
  <si>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</si>
  <si>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</si>
  <si>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</si>
  <si>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</si>
  <si>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</si>
  <si>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</si>
  <si>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</si>
  <si>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</si>
  <si>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</si>
  <si>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</si>
  <si>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</si>
  <si>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</si>
  <si>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</si>
  <si>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</si>
  <si>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</si>
  <si>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</si>
  <si>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</si>
  <si>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</si>
  <si>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</si>
  <si>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</si>
  <si>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</si>
  <si>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</si>
  <si>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</si>
  <si>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</si>
  <si>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</si>
  <si>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</si>
  <si>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</si>
  <si>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</si>
  <si>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</si>
  <si>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</si>
  <si>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</si>
  <si>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</si>
  <si>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</si>
  <si>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</si>
  <si>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</si>
  <si>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</si>
  <si>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</si>
  <si>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</si>
  <si>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</si>
  <si>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</si>
  <si>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</si>
  <si>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</si>
  <si>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</si>
  <si>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</si>
  <si>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</si>
  <si>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</si>
  <si>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</si>
  <si>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</si>
  <si>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</si>
  <si>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</si>
  <si>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</si>
  <si>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</si>
  <si>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</si>
  <si>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</si>
  <si>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</si>
  <si>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</si>
  <si>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</si>
  <si>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</si>
  <si>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</si>
  <si>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</si>
  <si>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</si>
  <si>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</si>
  <si>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</si>
  <si>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</si>
  <si>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</si>
  <si>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</si>
  <si>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</si>
  <si>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</si>
  <si>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</si>
  <si>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</si>
  <si>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</si>
  <si>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</si>
  <si>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</si>
  <si>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</si>
  <si>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</si>
  <si>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</si>
  <si>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</si>
  <si>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</si>
  <si>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</si>
  <si>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</si>
  <si>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</si>
  <si>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</si>
  <si>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</si>
  <si>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</si>
  <si>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</si>
  <si>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</si>
  <si>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</si>
  <si>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</si>
  <si>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</si>
  <si>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</si>
  <si>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</si>
  <si>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</si>
  <si>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</si>
  <si>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</si>
  <si>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</si>
  <si>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</si>
  <si>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</si>
  <si>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</si>
  <si>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</si>
  <si>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</si>
  <si>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</si>
  <si>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</si>
  <si>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</si>
  <si>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</si>
  <si>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</si>
  <si>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</si>
  <si>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</si>
  <si>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</si>
  <si>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</si>
  <si>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</si>
  <si>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</si>
  <si>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</si>
  <si>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</si>
  <si>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</si>
  <si>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</si>
  <si>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</si>
  <si>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</si>
  <si>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</si>
  <si>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</si>
  <si>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</si>
  <si>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</si>
  <si>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</si>
  <si>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</si>
  <si>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</si>
  <si>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</si>
  <si>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</si>
  <si>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</si>
  <si>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</si>
  <si>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</si>
  <si>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</si>
  <si>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</si>
  <si>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</si>
  <si>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</si>
  <si>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</si>
  <si>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</si>
  <si>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</si>
  <si>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</si>
  <si>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</si>
  <si>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</si>
  <si>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</si>
  <si>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</si>
  <si>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</si>
  <si>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</si>
  <si>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</si>
  <si>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</si>
  <si>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</si>
  <si>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</si>
  <si>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</si>
  <si>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</si>
  <si>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</si>
  <si>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</si>
  <si>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</si>
  <si>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</si>
  <si>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</si>
  <si>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</si>
  <si>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</si>
  <si>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</si>
  <si>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</si>
  <si>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</si>
  <si>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</si>
  <si>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</si>
  <si>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</si>
  <si>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</si>
  <si>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</si>
  <si>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</si>
  <si>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</si>
  <si>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</si>
  <si>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</si>
  <si>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</si>
  <si>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</si>
  <si>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</si>
  <si>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</si>
  <si>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</si>
  <si>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</si>
  <si>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</si>
  <si>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</si>
  <si>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</si>
  <si>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</si>
  <si>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</si>
  <si>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</si>
  <si>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</si>
  <si>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</si>
  <si>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</si>
  <si>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</si>
  <si>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</si>
  <si>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</si>
  <si>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</si>
  <si>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</si>
  <si>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XBOX GAME PASS SUBSCRIBTION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</si>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</sst>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9" tint="-0.249977111117893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ck">
        <color theme="9" tint="-0.2499465926084170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9" borderId="0" xfId="0" applyFill="1"/>
    <xf numFmtId="0" fontId="4" fillId="0" borderId="3" xfId="1" applyFont="1" applyBorder="1"/>
    <xf numFmtId="164" fontId="3" fillId="8" borderId="2" xfId="0" applyNumberFormat="1" applyFont="1" applyFill="1" applyBorder="1"/>
    <xf numFmtId="0" fontId="0" fillId="0" borderId="3" xfId="0" applyBorder="1"/>
  </cellXfs>
  <cellStyles count="3">
    <cellStyle name="Moeda" xfId="2" builtinId="4"/>
    <cellStyle name="Normal" xfId="0" builtinId="0"/>
    <cellStyle name="Título 1" xfId="1" builtinId="16"/>
  </cellStyles>
  <dxfs count="20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fill>
        <patternFill>
          <bgColor rgb="FF22C55E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horizontal style="thin">
          <color theme="0"/>
        </horizontal>
      </border>
    </dxf>
  </dxfs>
  <tableStyles count="3" defaultTableStyle="TableStyleMedium2" defaultPivotStyle="PivotStyleLight16">
    <tableStyle name="Estilo de Segmentação de Dados 1" pivot="0" table="0" count="0" xr9:uid="{414A8DC8-05A9-45B6-9A63-B0549D6751F7}"/>
    <tableStyle name="Estilo de Segmentação de Dados 2" pivot="0" table="0" count="1" xr9:uid="{559A2E4F-3ABE-44D4-B50D-6A9B18756694}">
      <tableStyleElement type="wholeTable" dxfId="19"/>
    </tableStyle>
    <tableStyle name="SlicerStyleDark6 2" pivot="0" table="0" count="10" xr9:uid="{2DD5BA0A-1DC9-487A-B1FF-0544DA6041D9}">
      <tableStyleElement type="wholeTable" dxfId="18"/>
      <tableStyleElement type="headerRow" dxfId="17"/>
    </tableStyle>
  </tableStyles>
  <colors>
    <mruColors>
      <color rgb="FF22C55E"/>
      <color rgb="FF5BF6A8"/>
      <color rgb="FF2AE6B1"/>
      <color rgb="FFE0E0E0"/>
      <color rgb="FFE8E6E9"/>
      <color rgb="FF00000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 DE ASSINATURAS XBOX.xlsx]C̳álculos!Tabela dinâmica1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706865661926313E-2"/>
          <c:y val="8.066030036688851E-2"/>
          <c:w val="0.941822765194123"/>
          <c:h val="0.873043568912297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_-[$R$-416]\ * #,##0.00_-;\-[$R$-416]\ * #,##0.00_-;_-[$R$-416]\ * "-"??_-;_-@_-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A8-4DAE-9977-8646E2B82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387535"/>
        <c:axId val="151388975"/>
      </c:barChart>
      <c:catAx>
        <c:axId val="151387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1388975"/>
        <c:crosses val="autoZero"/>
        <c:auto val="1"/>
        <c:lblAlgn val="ctr"/>
        <c:lblOffset val="100"/>
        <c:noMultiLvlLbl val="0"/>
      </c:catAx>
      <c:valAx>
        <c:axId val="151388975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5138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130969</xdr:colOff>
      <xdr:row>1</xdr:row>
      <xdr:rowOff>47625</xdr:rowOff>
    </xdr:from>
    <xdr:to>
      <xdr:col>0</xdr:col>
      <xdr:colOff>1857375</xdr:colOff>
      <xdr:row>2</xdr:row>
      <xdr:rowOff>9335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9DB392F0-6D1D-4102-B209-D7CDF9127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969" y="238125"/>
          <a:ext cx="1726406" cy="461773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  <a:reflection blurRad="6350" stA="52000" endA="300" endPos="35000" dir="5400000" sy="-100000" algn="bl" rotWithShape="0"/>
        </a:effectLst>
      </xdr:spPr>
    </xdr:pic>
    <xdr:clientData/>
  </xdr:twoCellAnchor>
  <xdr:twoCellAnchor>
    <xdr:from>
      <xdr:col>1</xdr:col>
      <xdr:colOff>190500</xdr:colOff>
      <xdr:row>22</xdr:row>
      <xdr:rowOff>107156</xdr:rowOff>
    </xdr:from>
    <xdr:to>
      <xdr:col>21</xdr:col>
      <xdr:colOff>516611</xdr:colOff>
      <xdr:row>38</xdr:row>
      <xdr:rowOff>47625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F4F825E4-8C0A-7D47-9E9D-8F76444D9B34}"/>
            </a:ext>
          </a:extLst>
        </xdr:cNvPr>
        <xdr:cNvGrpSpPr/>
      </xdr:nvGrpSpPr>
      <xdr:grpSpPr>
        <a:xfrm>
          <a:off x="2240797" y="4579063"/>
          <a:ext cx="12175856" cy="3040130"/>
          <a:chOff x="2214562" y="1059657"/>
          <a:chExt cx="5917407" cy="2988469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7407D3A2-D17D-3D04-BCFB-8D615D4F9180}"/>
              </a:ext>
            </a:extLst>
          </xdr:cNvPr>
          <xdr:cNvSpPr/>
        </xdr:nvSpPr>
        <xdr:spPr>
          <a:xfrm>
            <a:off x="2214562" y="1059657"/>
            <a:ext cx="5917407" cy="298846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8" name="Gráfico 7">
            <a:extLst>
              <a:ext uri="{FF2B5EF4-FFF2-40B4-BE49-F238E27FC236}">
                <a16:creationId xmlns:a16="http://schemas.microsoft.com/office/drawing/2014/main" id="{0A789605-A2EE-4326-81B0-25A6040E6AE8}"/>
              </a:ext>
            </a:extLst>
          </xdr:cNvPr>
          <xdr:cNvGraphicFramePr>
            <a:graphicFrameLocks/>
          </xdr:cNvGraphicFramePr>
        </xdr:nvGraphicFramePr>
        <xdr:xfrm>
          <a:off x="2488406" y="1250157"/>
          <a:ext cx="5405437" cy="25836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71437</xdr:colOff>
      <xdr:row>6</xdr:row>
      <xdr:rowOff>11907</xdr:rowOff>
    </xdr:from>
    <xdr:to>
      <xdr:col>0</xdr:col>
      <xdr:colOff>2000249</xdr:colOff>
      <xdr:row>17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Subscription Type">
              <a:extLst>
                <a:ext uri="{FF2B5EF4-FFF2-40B4-BE49-F238E27FC236}">
                  <a16:creationId xmlns:a16="http://schemas.microsoft.com/office/drawing/2014/main" id="{602A6BF1-65D0-4D46-AE7C-03B987750A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7" y="1158136"/>
              <a:ext cx="1928812" cy="24880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83344</xdr:colOff>
      <xdr:row>6</xdr:row>
      <xdr:rowOff>41672</xdr:rowOff>
    </xdr:from>
    <xdr:to>
      <xdr:col>11</xdr:col>
      <xdr:colOff>83344</xdr:colOff>
      <xdr:row>20</xdr:row>
      <xdr:rowOff>65484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948AF145-A515-0D6C-C7EE-114FFB66C40A}"/>
            </a:ext>
          </a:extLst>
        </xdr:cNvPr>
        <xdr:cNvGrpSpPr/>
      </xdr:nvGrpSpPr>
      <xdr:grpSpPr>
        <a:xfrm>
          <a:off x="2133641" y="1187901"/>
          <a:ext cx="5892584" cy="2962032"/>
          <a:chOff x="2133641" y="1187901"/>
          <a:chExt cx="5892584" cy="2962032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3BF970DA-8F70-0334-F2F7-A8A9373B1170}"/>
              </a:ext>
            </a:extLst>
          </xdr:cNvPr>
          <xdr:cNvSpPr/>
        </xdr:nvSpPr>
        <xdr:spPr>
          <a:xfrm>
            <a:off x="2133641" y="1199991"/>
            <a:ext cx="5892584" cy="2949942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6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F7D18BE6-4CA3-4E7D-B82C-37E7BE259B45}"/>
              </a:ext>
            </a:extLst>
          </xdr:cNvPr>
          <xdr:cNvSpPr/>
        </xdr:nvSpPr>
        <xdr:spPr>
          <a:xfrm>
            <a:off x="4586879" y="1897577"/>
            <a:ext cx="3222882" cy="1450793"/>
          </a:xfrm>
          <a:prstGeom prst="round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27EEFA8-B5E4-4B89-B951-CAC4650C7CA9}" type="TxLink">
              <a:rPr lang="en-US" sz="4800" b="0" i="0" u="none" strike="noStrike">
                <a:solidFill>
                  <a:schemeClr val="accent6">
                    <a:lumMod val="40000"/>
                    <a:lumOff val="60000"/>
                  </a:schemeClr>
                </a:solidFill>
                <a:latin typeface="Bahnschrift SemiBold Condensed" panose="020B0502040204020203" pitchFamily="34" charset="0"/>
              </a:rPr>
              <a:pPr algn="ctr"/>
              <a:t> R$ 600,00 </a:t>
            </a:fld>
            <a:endParaRPr lang="en-US" sz="4800">
              <a:solidFill>
                <a:schemeClr val="accent6">
                  <a:lumMod val="40000"/>
                  <a:lumOff val="60000"/>
                </a:schemeClr>
              </a:solidFill>
              <a:latin typeface="Bahnschrift SemiBold Condensed" panose="020B0502040204020203" pitchFamily="34" charset="0"/>
            </a:endParaRPr>
          </a:p>
        </xdr:txBody>
      </xdr:sp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299F10B6-A8E2-4FFD-9291-570F894B9AF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47324" y="1676333"/>
            <a:ext cx="1883222" cy="1893283"/>
          </a:xfrm>
          <a:prstGeom prst="rect">
            <a:avLst/>
          </a:prstGeo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</xdr:pic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F4DBBB4B-3B8E-12B2-1C63-2C4BC9EA5417}"/>
              </a:ext>
            </a:extLst>
          </xdr:cNvPr>
          <xdr:cNvSpPr/>
        </xdr:nvSpPr>
        <xdr:spPr>
          <a:xfrm>
            <a:off x="2145666" y="1187901"/>
            <a:ext cx="5868532" cy="640766"/>
          </a:xfrm>
          <a:prstGeom prst="round2Same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solidFill>
                  <a:schemeClr val="accent6">
                    <a:lumMod val="40000"/>
                    <a:lumOff val="60000"/>
                  </a:schemeClr>
                </a:solidFill>
                <a:latin typeface="Bahnschrift SemiBold" panose="020B0502040204020203" pitchFamily="34" charset="0"/>
              </a:rPr>
              <a:t>TOTAL </a:t>
            </a:r>
            <a:r>
              <a:rPr lang="pt-BR" sz="1600" b="1">
                <a:solidFill>
                  <a:schemeClr val="accent6">
                    <a:lumMod val="40000"/>
                    <a:lumOff val="60000"/>
                  </a:schemeClr>
                </a:solidFill>
                <a:latin typeface="Bahnschrift SemiBold" panose="020B0502040204020203" pitchFamily="34" charset="0"/>
              </a:rPr>
              <a:t>SUBSCRIBTION</a:t>
            </a:r>
            <a:r>
              <a:rPr lang="pt-BR" sz="1600">
                <a:solidFill>
                  <a:schemeClr val="accent6">
                    <a:lumMod val="40000"/>
                    <a:lumOff val="60000"/>
                  </a:schemeClr>
                </a:solidFill>
                <a:latin typeface="Bahnschrift SemiBold" panose="020B0502040204020203" pitchFamily="34" charset="0"/>
              </a:rPr>
              <a:t> EA PLAYS SEASON PASS</a:t>
            </a:r>
          </a:p>
        </xdr:txBody>
      </xdr:sp>
    </xdr:grpSp>
    <xdr:clientData/>
  </xdr:twoCellAnchor>
  <xdr:twoCellAnchor>
    <xdr:from>
      <xdr:col>12</xdr:col>
      <xdr:colOff>0</xdr:colOff>
      <xdr:row>6</xdr:row>
      <xdr:rowOff>41672</xdr:rowOff>
    </xdr:from>
    <xdr:to>
      <xdr:col>21</xdr:col>
      <xdr:colOff>369094</xdr:colOff>
      <xdr:row>20</xdr:row>
      <xdr:rowOff>65484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644E5D98-2DBC-F0A2-322C-2B7B170232B1}"/>
            </a:ext>
          </a:extLst>
        </xdr:cNvPr>
        <xdr:cNvGrpSpPr/>
      </xdr:nvGrpSpPr>
      <xdr:grpSpPr>
        <a:xfrm>
          <a:off x="8378771" y="1187901"/>
          <a:ext cx="5890365" cy="2962032"/>
          <a:chOff x="8378771" y="1187901"/>
          <a:chExt cx="5890365" cy="2962032"/>
        </a:xfrm>
      </xdr:grpSpPr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642EB067-4325-8961-6E6F-D564526EAB0E}"/>
              </a:ext>
            </a:extLst>
          </xdr:cNvPr>
          <xdr:cNvSpPr/>
        </xdr:nvSpPr>
        <xdr:spPr>
          <a:xfrm>
            <a:off x="8378771" y="1199991"/>
            <a:ext cx="5890365" cy="2949942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5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64FC1DE8-890F-D809-06A1-B9764DE4760D}"/>
              </a:ext>
            </a:extLst>
          </xdr:cNvPr>
          <xdr:cNvSpPr/>
        </xdr:nvSpPr>
        <xdr:spPr>
          <a:xfrm>
            <a:off x="10831085" y="1897577"/>
            <a:ext cx="3221669" cy="1450793"/>
          </a:xfrm>
          <a:prstGeom prst="round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51003CC-5763-4CFE-8B2B-67B36D0048E5}" type="TxLink">
              <a:rPr lang="en-US" sz="4800" b="0" i="0" u="none" strike="noStrike">
                <a:solidFill>
                  <a:schemeClr val="accent6">
                    <a:lumMod val="40000"/>
                    <a:lumOff val="60000"/>
                  </a:schemeClr>
                </a:solidFill>
                <a:latin typeface="Bahnschrift SemiBold Condensed" panose="020B0502040204020203" pitchFamily="34" charset="0"/>
              </a:rPr>
              <a:pPr algn="ctr"/>
              <a:t> R$ 940,00 </a:t>
            </a:fld>
            <a:endParaRPr lang="en-US" sz="4800">
              <a:solidFill>
                <a:schemeClr val="accent6">
                  <a:lumMod val="40000"/>
                  <a:lumOff val="60000"/>
                </a:schemeClr>
              </a:solidFill>
              <a:latin typeface="Bahnschrift SemiBold Condensed" panose="020B0502040204020203" pitchFamily="34" charset="0"/>
            </a:endParaRPr>
          </a:p>
        </xdr:txBody>
      </xdr:sp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23EF255E-AD55-22AF-D678-436060AE36F0}"/>
              </a:ext>
            </a:extLst>
          </xdr:cNvPr>
          <xdr:cNvSpPr/>
        </xdr:nvSpPr>
        <xdr:spPr>
          <a:xfrm>
            <a:off x="8390792" y="1187901"/>
            <a:ext cx="5866322" cy="640766"/>
          </a:xfrm>
          <a:prstGeom prst="round2Same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solidFill>
                  <a:schemeClr val="accent6">
                    <a:lumMod val="40000"/>
                    <a:lumOff val="60000"/>
                  </a:schemeClr>
                </a:solidFill>
                <a:latin typeface="Bahnschrift SemiBold" panose="020B0502040204020203" pitchFamily="34" charset="0"/>
              </a:rPr>
              <a:t>TOTAL </a:t>
            </a:r>
            <a:r>
              <a:rPr lang="pt-BR" sz="1600" b="1">
                <a:solidFill>
                  <a:schemeClr val="accent6">
                    <a:lumMod val="40000"/>
                    <a:lumOff val="60000"/>
                  </a:schemeClr>
                </a:solidFill>
                <a:latin typeface="Bahnschrift SemiBold" panose="020B0502040204020203" pitchFamily="34" charset="0"/>
              </a:rPr>
              <a:t>SUBSCRIBTION</a:t>
            </a:r>
            <a:r>
              <a:rPr lang="pt-BR" sz="1600">
                <a:solidFill>
                  <a:schemeClr val="accent6">
                    <a:lumMod val="40000"/>
                    <a:lumOff val="60000"/>
                  </a:schemeClr>
                </a:solidFill>
                <a:latin typeface="Bahnschrift SemiBold" panose="020B0502040204020203" pitchFamily="34" charset="0"/>
              </a:rPr>
              <a:t> EA PLAYS SEASON PASS</a:t>
            </a:r>
          </a:p>
        </xdr:txBody>
      </xdr:sp>
    </xdr:grpSp>
    <xdr:clientData/>
  </xdr:twoCellAnchor>
  <xdr:twoCellAnchor>
    <xdr:from>
      <xdr:col>12</xdr:col>
      <xdr:colOff>372656</xdr:colOff>
      <xdr:row>9</xdr:row>
      <xdr:rowOff>65046</xdr:rowOff>
    </xdr:from>
    <xdr:to>
      <xdr:col>15</xdr:col>
      <xdr:colOff>371468</xdr:colOff>
      <xdr:row>15</xdr:row>
      <xdr:rowOff>111666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2DE3028E-AC06-44CD-B953-7DACDB31D869}"/>
            </a:ext>
          </a:extLst>
        </xdr:cNvPr>
        <xdr:cNvGrpSpPr/>
      </xdr:nvGrpSpPr>
      <xdr:grpSpPr>
        <a:xfrm>
          <a:off x="8751427" y="2018478"/>
          <a:ext cx="1839236" cy="1208993"/>
          <a:chOff x="3495675" y="5400674"/>
          <a:chExt cx="1549476" cy="752476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pic>
        <xdr:nvPicPr>
          <xdr:cNvPr id="30" name="Imagem 29">
            <a:extLst>
              <a:ext uri="{FF2B5EF4-FFF2-40B4-BE49-F238E27FC236}">
                <a16:creationId xmlns:a16="http://schemas.microsoft.com/office/drawing/2014/main" id="{4714FE84-506D-86A6-2D07-ED7B6F9C776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31" name="Gráfico 30">
            <a:extLst>
              <a:ext uri="{FF2B5EF4-FFF2-40B4-BE49-F238E27FC236}">
                <a16:creationId xmlns:a16="http://schemas.microsoft.com/office/drawing/2014/main" id="{2A984FEF-A963-88C6-6ED2-6AB8B1BD82B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chau" refreshedDate="46309.484258217592" createdVersion="8" refreshedVersion="8" minRefreshableVersion="3" recordCount="295" xr:uid="{519B35B6-6496-4FDC-82A9-92EDDE4DC0D2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5109483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x v="0"/>
    <s v="Yes"/>
    <n v="20"/>
    <n v="5"/>
    <x v="0"/>
  </r>
  <r>
    <n v="3232"/>
    <s v="Maria Oliveira"/>
    <x v="1"/>
    <d v="2024-01-15T00:00:00"/>
    <x v="1"/>
    <n v="5"/>
    <x v="1"/>
    <x v="1"/>
    <x v="1"/>
    <s v="No"/>
    <n v="0"/>
    <n v="0"/>
    <x v="1"/>
  </r>
  <r>
    <n v="3233"/>
    <s v="Lucas Fernandes"/>
    <x v="2"/>
    <d v="2024-02-10T00:00:00"/>
    <x v="0"/>
    <n v="10"/>
    <x v="2"/>
    <x v="1"/>
    <x v="1"/>
    <s v="Yes"/>
    <n v="20"/>
    <n v="10"/>
    <x v="2"/>
  </r>
  <r>
    <n v="3234"/>
    <s v="Ana Souza"/>
    <x v="0"/>
    <d v="2024-02-20T00:00:00"/>
    <x v="1"/>
    <n v="15"/>
    <x v="0"/>
    <x v="0"/>
    <x v="0"/>
    <s v="Yes"/>
    <n v="20"/>
    <n v="3"/>
    <x v="3"/>
  </r>
  <r>
    <n v="3235"/>
    <s v="Pedro Gonçalves"/>
    <x v="1"/>
    <d v="2024-03-05T00:00:00"/>
    <x v="0"/>
    <n v="5"/>
    <x v="0"/>
    <x v="1"/>
    <x v="1"/>
    <s v="No"/>
    <n v="0"/>
    <n v="1"/>
    <x v="4"/>
  </r>
  <r>
    <n v="3236"/>
    <s v="Felipe Costa"/>
    <x v="2"/>
    <d v="2024-03-02T00:00:00"/>
    <x v="1"/>
    <n v="10"/>
    <x v="0"/>
    <x v="1"/>
    <x v="1"/>
    <s v="Yes"/>
    <n v="20"/>
    <n v="2"/>
    <x v="5"/>
  </r>
  <r>
    <n v="3237"/>
    <s v="Camila Ribeiro"/>
    <x v="0"/>
    <d v="2024-03-03T00:00:00"/>
    <x v="0"/>
    <n v="15"/>
    <x v="2"/>
    <x v="0"/>
    <x v="0"/>
    <s v="Yes"/>
    <n v="20"/>
    <n v="10"/>
    <x v="6"/>
  </r>
  <r>
    <n v="3238"/>
    <s v="André Mendes"/>
    <x v="1"/>
    <d v="2024-03-04T00:00:00"/>
    <x v="0"/>
    <n v="5"/>
    <x v="1"/>
    <x v="1"/>
    <x v="1"/>
    <s v="No"/>
    <n v="0"/>
    <n v="0"/>
    <x v="1"/>
  </r>
  <r>
    <n v="3239"/>
    <s v="Sofia Almeida"/>
    <x v="0"/>
    <d v="2024-03-05T00:00:00"/>
    <x v="1"/>
    <n v="15"/>
    <x v="0"/>
    <x v="0"/>
    <x v="0"/>
    <s v="Yes"/>
    <n v="20"/>
    <n v="5"/>
    <x v="0"/>
  </r>
  <r>
    <n v="3240"/>
    <s v="Bruno Martins"/>
    <x v="2"/>
    <d v="2024-03-06T00:00:00"/>
    <x v="0"/>
    <n v="10"/>
    <x v="2"/>
    <x v="1"/>
    <x v="1"/>
    <s v="Yes"/>
    <n v="20"/>
    <n v="15"/>
    <x v="7"/>
  </r>
  <r>
    <n v="3241"/>
    <s v="Rita Castro"/>
    <x v="1"/>
    <d v="2024-03-07T00:00:00"/>
    <x v="1"/>
    <n v="5"/>
    <x v="0"/>
    <x v="1"/>
    <x v="1"/>
    <s v="No"/>
    <n v="0"/>
    <n v="1"/>
    <x v="4"/>
  </r>
  <r>
    <n v="3242"/>
    <s v="Marco Túlio"/>
    <x v="0"/>
    <d v="2024-03-08T00:00:00"/>
    <x v="0"/>
    <n v="15"/>
    <x v="1"/>
    <x v="0"/>
    <x v="0"/>
    <s v="Yes"/>
    <n v="20"/>
    <n v="20"/>
    <x v="8"/>
  </r>
  <r>
    <n v="3243"/>
    <s v="Lívia Silveira"/>
    <x v="2"/>
    <d v="2024-03-09T00:00:00"/>
    <x v="1"/>
    <n v="10"/>
    <x v="0"/>
    <x v="1"/>
    <x v="1"/>
    <s v="Yes"/>
    <n v="20"/>
    <n v="10"/>
    <x v="2"/>
  </r>
  <r>
    <n v="3244"/>
    <s v="Diogo Sousa"/>
    <x v="1"/>
    <d v="2024-03-10T00:00:00"/>
    <x v="0"/>
    <n v="5"/>
    <x v="2"/>
    <x v="1"/>
    <x v="1"/>
    <s v="No"/>
    <n v="0"/>
    <n v="0"/>
    <x v="1"/>
  </r>
  <r>
    <n v="3245"/>
    <s v="Fernanda Lima"/>
    <x v="0"/>
    <d v="2024-03-11T00:00:00"/>
    <x v="1"/>
    <n v="15"/>
    <x v="0"/>
    <x v="0"/>
    <x v="0"/>
    <s v="Yes"/>
    <n v="20"/>
    <n v="8"/>
    <x v="9"/>
  </r>
  <r>
    <n v="3246"/>
    <s v="Caio Pereira"/>
    <x v="2"/>
    <d v="2024-03-12T00:00:00"/>
    <x v="0"/>
    <n v="10"/>
    <x v="1"/>
    <x v="1"/>
    <x v="1"/>
    <s v="Yes"/>
    <n v="20"/>
    <n v="12"/>
    <x v="10"/>
  </r>
  <r>
    <n v="3247"/>
    <s v="Beatriz Gomes"/>
    <x v="1"/>
    <d v="2024-03-13T00:00:00"/>
    <x v="1"/>
    <n v="5"/>
    <x v="0"/>
    <x v="1"/>
    <x v="1"/>
    <s v="No"/>
    <n v="0"/>
    <n v="2"/>
    <x v="11"/>
  </r>
  <r>
    <n v="3248"/>
    <s v="Cesar Oliveira"/>
    <x v="0"/>
    <d v="2024-03-14T00:00:00"/>
    <x v="0"/>
    <n v="15"/>
    <x v="2"/>
    <x v="0"/>
    <x v="0"/>
    <s v="Yes"/>
    <n v="20"/>
    <n v="7"/>
    <x v="12"/>
  </r>
  <r>
    <n v="3249"/>
    <s v="Débora Machado"/>
    <x v="2"/>
    <d v="2024-03-15T00:00:00"/>
    <x v="1"/>
    <n v="10"/>
    <x v="0"/>
    <x v="1"/>
    <x v="1"/>
    <s v="Yes"/>
    <n v="20"/>
    <n v="5"/>
    <x v="13"/>
  </r>
  <r>
    <n v="3250"/>
    <s v="Eduardo Vargas"/>
    <x v="1"/>
    <d v="2024-03-16T00:00:00"/>
    <x v="0"/>
    <n v="5"/>
    <x v="1"/>
    <x v="1"/>
    <x v="1"/>
    <s v="No"/>
    <n v="0"/>
    <n v="0"/>
    <x v="1"/>
  </r>
  <r>
    <n v="3251"/>
    <s v="Gabriela Santos"/>
    <x v="0"/>
    <d v="2024-03-17T00:00:00"/>
    <x v="1"/>
    <n v="15"/>
    <x v="0"/>
    <x v="0"/>
    <x v="0"/>
    <s v="Yes"/>
    <n v="20"/>
    <n v="3"/>
    <x v="3"/>
  </r>
  <r>
    <n v="3252"/>
    <s v="Henrique Dias"/>
    <x v="2"/>
    <d v="2024-03-18T00:00:00"/>
    <x v="0"/>
    <n v="10"/>
    <x v="2"/>
    <x v="1"/>
    <x v="1"/>
    <s v="Yes"/>
    <n v="20"/>
    <n v="15"/>
    <x v="7"/>
  </r>
  <r>
    <n v="3253"/>
    <s v="Isabela Moreira"/>
    <x v="1"/>
    <d v="2024-03-19T00:00:00"/>
    <x v="1"/>
    <n v="5"/>
    <x v="0"/>
    <x v="1"/>
    <x v="1"/>
    <s v="No"/>
    <n v="0"/>
    <n v="1"/>
    <x v="4"/>
  </r>
  <r>
    <n v="3254"/>
    <s v="Joaquim Barbosa"/>
    <x v="0"/>
    <d v="2024-03-20T00:00:00"/>
    <x v="0"/>
    <n v="15"/>
    <x v="1"/>
    <x v="0"/>
    <x v="0"/>
    <s v="Yes"/>
    <n v="20"/>
    <n v="20"/>
    <x v="8"/>
  </r>
  <r>
    <n v="3255"/>
    <s v="Lara Rocha"/>
    <x v="2"/>
    <d v="2024-03-21T00:00:00"/>
    <x v="1"/>
    <n v="10"/>
    <x v="0"/>
    <x v="1"/>
    <x v="1"/>
    <s v="Yes"/>
    <n v="20"/>
    <n v="10"/>
    <x v="2"/>
  </r>
  <r>
    <n v="3256"/>
    <s v="Matheus Silva"/>
    <x v="1"/>
    <d v="2024-03-22T00:00:00"/>
    <x v="0"/>
    <n v="5"/>
    <x v="2"/>
    <x v="1"/>
    <x v="1"/>
    <s v="No"/>
    <n v="0"/>
    <n v="0"/>
    <x v="1"/>
  </r>
  <r>
    <n v="3257"/>
    <s v="Nicole Costa"/>
    <x v="0"/>
    <d v="2024-03-23T00:00:00"/>
    <x v="1"/>
    <n v="15"/>
    <x v="0"/>
    <x v="0"/>
    <x v="0"/>
    <s v="Yes"/>
    <n v="20"/>
    <n v="5"/>
    <x v="0"/>
  </r>
  <r>
    <n v="3258"/>
    <s v="Otávio Mendonça"/>
    <x v="2"/>
    <d v="2024-03-24T00:00:00"/>
    <x v="0"/>
    <n v="10"/>
    <x v="1"/>
    <x v="1"/>
    <x v="1"/>
    <s v="Yes"/>
    <n v="20"/>
    <n v="15"/>
    <x v="7"/>
  </r>
  <r>
    <n v="3259"/>
    <s v="Paula Ferreira"/>
    <x v="1"/>
    <d v="2024-03-25T00:00:00"/>
    <x v="1"/>
    <n v="5"/>
    <x v="0"/>
    <x v="1"/>
    <x v="1"/>
    <s v="No"/>
    <n v="0"/>
    <n v="1"/>
    <x v="4"/>
  </r>
  <r>
    <n v="3260"/>
    <s v="Raquel Alves"/>
    <x v="0"/>
    <d v="2024-03-26T00:00:00"/>
    <x v="0"/>
    <n v="15"/>
    <x v="2"/>
    <x v="0"/>
    <x v="0"/>
    <s v="Yes"/>
    <n v="20"/>
    <n v="7"/>
    <x v="12"/>
  </r>
  <r>
    <n v="3261"/>
    <s v="Samuel Pires"/>
    <x v="2"/>
    <d v="2024-03-27T00:00:00"/>
    <x v="1"/>
    <n v="10"/>
    <x v="0"/>
    <x v="1"/>
    <x v="1"/>
    <s v="Yes"/>
    <n v="20"/>
    <n v="10"/>
    <x v="2"/>
  </r>
  <r>
    <n v="3262"/>
    <s v="Tânia Barros"/>
    <x v="1"/>
    <d v="2024-03-28T00:00:00"/>
    <x v="0"/>
    <n v="5"/>
    <x v="1"/>
    <x v="1"/>
    <x v="1"/>
    <s v="No"/>
    <n v="0"/>
    <n v="0"/>
    <x v="1"/>
  </r>
  <r>
    <n v="3263"/>
    <s v="Vinicius Lima"/>
    <x v="0"/>
    <d v="2024-03-29T00:00:00"/>
    <x v="1"/>
    <n v="15"/>
    <x v="0"/>
    <x v="0"/>
    <x v="0"/>
    <s v="Yes"/>
    <n v="20"/>
    <n v="3"/>
    <x v="3"/>
  </r>
  <r>
    <n v="3264"/>
    <s v="Yasmin Teixeira"/>
    <x v="2"/>
    <d v="2024-03-30T00:00:00"/>
    <x v="0"/>
    <n v="10"/>
    <x v="2"/>
    <x v="1"/>
    <x v="1"/>
    <s v="Yes"/>
    <n v="20"/>
    <n v="15"/>
    <x v="7"/>
  </r>
  <r>
    <n v="3265"/>
    <s v="Zé Carlos"/>
    <x v="1"/>
    <d v="2024-03-31T00:00:00"/>
    <x v="1"/>
    <n v="5"/>
    <x v="0"/>
    <x v="1"/>
    <x v="1"/>
    <s v="No"/>
    <n v="0"/>
    <n v="1"/>
    <x v="4"/>
  </r>
  <r>
    <n v="3266"/>
    <s v="Amanda Nogueira"/>
    <x v="1"/>
    <d v="2024-04-01T00:00:00"/>
    <x v="0"/>
    <n v="5"/>
    <x v="0"/>
    <x v="1"/>
    <x v="1"/>
    <s v="No"/>
    <n v="0"/>
    <n v="0"/>
    <x v="1"/>
  </r>
  <r>
    <n v="3267"/>
    <s v="Bruno Cavalheiro"/>
    <x v="0"/>
    <d v="2024-04-02T00:00:00"/>
    <x v="1"/>
    <n v="15"/>
    <x v="2"/>
    <x v="0"/>
    <x v="0"/>
    <s v="Yes"/>
    <n v="20"/>
    <n v="7"/>
    <x v="12"/>
  </r>
  <r>
    <n v="3268"/>
    <s v="Carla Dias"/>
    <x v="2"/>
    <d v="2024-04-03T00:00:00"/>
    <x v="0"/>
    <n v="10"/>
    <x v="1"/>
    <x v="1"/>
    <x v="1"/>
    <s v="Yes"/>
    <n v="20"/>
    <n v="10"/>
    <x v="2"/>
  </r>
  <r>
    <n v="3269"/>
    <s v="Diego Fontes"/>
    <x v="1"/>
    <d v="2024-04-04T00:00:00"/>
    <x v="1"/>
    <n v="5"/>
    <x v="2"/>
    <x v="1"/>
    <x v="1"/>
    <s v="No"/>
    <n v="0"/>
    <n v="1"/>
    <x v="4"/>
  </r>
  <r>
    <n v="3270"/>
    <s v="Eunice Lima"/>
    <x v="0"/>
    <d v="2024-04-05T00:00:00"/>
    <x v="0"/>
    <n v="15"/>
    <x v="0"/>
    <x v="0"/>
    <x v="0"/>
    <s v="Yes"/>
    <n v="20"/>
    <n v="15"/>
    <x v="14"/>
  </r>
  <r>
    <n v="3271"/>
    <s v="Fábio Martins"/>
    <x v="2"/>
    <d v="2024-04-06T00:00:00"/>
    <x v="1"/>
    <n v="10"/>
    <x v="0"/>
    <x v="1"/>
    <x v="1"/>
    <s v="Yes"/>
    <n v="20"/>
    <n v="5"/>
    <x v="13"/>
  </r>
  <r>
    <n v="3272"/>
    <s v="Gisele Araújo"/>
    <x v="1"/>
    <d v="2024-04-07T00:00:00"/>
    <x v="0"/>
    <n v="5"/>
    <x v="1"/>
    <x v="1"/>
    <x v="1"/>
    <s v="No"/>
    <n v="0"/>
    <n v="0"/>
    <x v="1"/>
  </r>
  <r>
    <n v="3273"/>
    <s v="Hélio Castro"/>
    <x v="0"/>
    <d v="2024-04-08T00:00:00"/>
    <x v="1"/>
    <n v="15"/>
    <x v="2"/>
    <x v="0"/>
    <x v="0"/>
    <s v="Yes"/>
    <n v="20"/>
    <n v="20"/>
    <x v="8"/>
  </r>
  <r>
    <n v="3274"/>
    <s v="Ingrid Menezes"/>
    <x v="2"/>
    <d v="2024-04-09T00:00:00"/>
    <x v="0"/>
    <n v="10"/>
    <x v="2"/>
    <x v="1"/>
    <x v="1"/>
    <s v="Yes"/>
    <n v="20"/>
    <n v="12"/>
    <x v="10"/>
  </r>
  <r>
    <n v="3275"/>
    <s v="Jorge Baptista"/>
    <x v="1"/>
    <d v="2024-04-10T00:00:00"/>
    <x v="1"/>
    <n v="5"/>
    <x v="0"/>
    <x v="1"/>
    <x v="1"/>
    <s v="No"/>
    <n v="0"/>
    <n v="2"/>
    <x v="11"/>
  </r>
  <r>
    <n v="3276"/>
    <s v="Kléber Oliveira"/>
    <x v="0"/>
    <d v="2024-04-11T00:00:00"/>
    <x v="0"/>
    <n v="15"/>
    <x v="1"/>
    <x v="0"/>
    <x v="0"/>
    <s v="Yes"/>
    <n v="20"/>
    <n v="5"/>
    <x v="0"/>
  </r>
  <r>
    <n v="3277"/>
    <s v="Luciana Freitas"/>
    <x v="2"/>
    <d v="2024-04-12T00:00:00"/>
    <x v="1"/>
    <n v="10"/>
    <x v="0"/>
    <x v="1"/>
    <x v="1"/>
    <s v="Yes"/>
    <n v="20"/>
    <n v="10"/>
    <x v="2"/>
  </r>
  <r>
    <n v="3278"/>
    <s v="Márcia Eller"/>
    <x v="1"/>
    <d v="2024-04-13T00:00:00"/>
    <x v="0"/>
    <n v="5"/>
    <x v="2"/>
    <x v="1"/>
    <x v="1"/>
    <s v="No"/>
    <n v="0"/>
    <n v="0"/>
    <x v="1"/>
  </r>
  <r>
    <n v="3279"/>
    <s v="Nilo Peçanha"/>
    <x v="0"/>
    <d v="2024-04-14T00:00:00"/>
    <x v="1"/>
    <n v="15"/>
    <x v="0"/>
    <x v="0"/>
    <x v="0"/>
    <s v="Yes"/>
    <n v="20"/>
    <n v="3"/>
    <x v="3"/>
  </r>
  <r>
    <n v="3280"/>
    <s v="Oscar Neves"/>
    <x v="2"/>
    <d v="2024-04-15T00:00:00"/>
    <x v="0"/>
    <n v="10"/>
    <x v="1"/>
    <x v="1"/>
    <x v="1"/>
    <s v="Yes"/>
    <n v="20"/>
    <n v="15"/>
    <x v="7"/>
  </r>
  <r>
    <n v="3281"/>
    <s v="Patrícia Soares"/>
    <x v="1"/>
    <d v="2024-04-16T00:00:00"/>
    <x v="1"/>
    <n v="5"/>
    <x v="0"/>
    <x v="1"/>
    <x v="1"/>
    <s v="No"/>
    <n v="0"/>
    <n v="1"/>
    <x v="4"/>
  </r>
  <r>
    <n v="3282"/>
    <s v="Quirino Gonçalves"/>
    <x v="0"/>
    <d v="2024-04-17T00:00:00"/>
    <x v="0"/>
    <n v="15"/>
    <x v="2"/>
    <x v="0"/>
    <x v="0"/>
    <s v="Yes"/>
    <n v="20"/>
    <n v="7"/>
    <x v="12"/>
  </r>
  <r>
    <n v="3283"/>
    <s v="Raul Machado"/>
    <x v="2"/>
    <d v="2024-04-18T00:00:00"/>
    <x v="1"/>
    <n v="10"/>
    <x v="0"/>
    <x v="1"/>
    <x v="1"/>
    <s v="Yes"/>
    <n v="20"/>
    <n v="10"/>
    <x v="2"/>
  </r>
  <r>
    <n v="3284"/>
    <s v="Sônia Lobo"/>
    <x v="1"/>
    <d v="2024-04-19T00:00:00"/>
    <x v="0"/>
    <n v="5"/>
    <x v="1"/>
    <x v="1"/>
    <x v="1"/>
    <s v="No"/>
    <n v="0"/>
    <n v="0"/>
    <x v="1"/>
  </r>
  <r>
    <n v="3285"/>
    <s v="Tiago Ramos"/>
    <x v="0"/>
    <d v="2024-04-20T00:00:00"/>
    <x v="1"/>
    <n v="15"/>
    <x v="0"/>
    <x v="0"/>
    <x v="0"/>
    <s v="Yes"/>
    <n v="20"/>
    <n v="20"/>
    <x v="8"/>
  </r>
  <r>
    <n v="3286"/>
    <s v="Ugo Pires"/>
    <x v="2"/>
    <d v="2024-04-21T00:00:00"/>
    <x v="0"/>
    <n v="10"/>
    <x v="2"/>
    <x v="1"/>
    <x v="1"/>
    <s v="Yes"/>
    <n v="20"/>
    <n v="15"/>
    <x v="7"/>
  </r>
  <r>
    <n v="3287"/>
    <s v="Valéria Nobre"/>
    <x v="1"/>
    <d v="2024-04-22T00:00:00"/>
    <x v="1"/>
    <n v="5"/>
    <x v="0"/>
    <x v="1"/>
    <x v="1"/>
    <s v="No"/>
    <n v="0"/>
    <n v="1"/>
    <x v="4"/>
  </r>
  <r>
    <n v="3288"/>
    <s v="William Siqueira"/>
    <x v="0"/>
    <d v="2024-04-23T00:00:00"/>
    <x v="0"/>
    <n v="15"/>
    <x v="1"/>
    <x v="0"/>
    <x v="0"/>
    <s v="Yes"/>
    <n v="20"/>
    <n v="3"/>
    <x v="3"/>
  </r>
  <r>
    <n v="3289"/>
    <s v="Xuxa Meneghel"/>
    <x v="2"/>
    <d v="2024-04-24T00:00:00"/>
    <x v="1"/>
    <n v="10"/>
    <x v="0"/>
    <x v="1"/>
    <x v="1"/>
    <s v="Yes"/>
    <n v="20"/>
    <n v="10"/>
    <x v="2"/>
  </r>
  <r>
    <n v="3290"/>
    <s v="Yara Figueiredo"/>
    <x v="1"/>
    <d v="2024-04-25T00:00:00"/>
    <x v="0"/>
    <n v="5"/>
    <x v="2"/>
    <x v="1"/>
    <x v="1"/>
    <s v="No"/>
    <n v="0"/>
    <n v="0"/>
    <x v="1"/>
  </r>
  <r>
    <n v="3291"/>
    <s v="Zacarias Alves"/>
    <x v="0"/>
    <d v="2024-04-26T00:00:00"/>
    <x v="1"/>
    <n v="15"/>
    <x v="0"/>
    <x v="0"/>
    <x v="0"/>
    <s v="Yes"/>
    <n v="20"/>
    <n v="5"/>
    <x v="0"/>
  </r>
  <r>
    <n v="3292"/>
    <s v="Amanda Bynes"/>
    <x v="2"/>
    <d v="2024-04-27T00:00:00"/>
    <x v="0"/>
    <n v="10"/>
    <x v="1"/>
    <x v="1"/>
    <x v="1"/>
    <s v="Yes"/>
    <n v="20"/>
    <n v="15"/>
    <x v="7"/>
  </r>
  <r>
    <n v="3293"/>
    <s v="Bruno Mars"/>
    <x v="1"/>
    <d v="2024-04-28T00:00:00"/>
    <x v="1"/>
    <n v="5"/>
    <x v="0"/>
    <x v="1"/>
    <x v="1"/>
    <s v="No"/>
    <n v="0"/>
    <n v="1"/>
    <x v="4"/>
  </r>
  <r>
    <n v="3294"/>
    <s v="Carla Bruni"/>
    <x v="0"/>
    <d v="2024-04-29T00:00:00"/>
    <x v="0"/>
    <n v="15"/>
    <x v="2"/>
    <x v="0"/>
    <x v="0"/>
    <s v="Yes"/>
    <n v="20"/>
    <n v="20"/>
    <x v="8"/>
  </r>
  <r>
    <n v="3295"/>
    <s v="Diego Maradona"/>
    <x v="2"/>
    <d v="2024-04-30T00:00:00"/>
    <x v="1"/>
    <n v="10"/>
    <x v="0"/>
    <x v="1"/>
    <x v="1"/>
    <s v="Yes"/>
    <n v="20"/>
    <n v="5"/>
    <x v="13"/>
  </r>
  <r>
    <n v="3296"/>
    <s v="Estela Marques"/>
    <x v="1"/>
    <d v="2024-05-01T00:00:00"/>
    <x v="1"/>
    <n v="5"/>
    <x v="0"/>
    <x v="1"/>
    <x v="1"/>
    <s v="No"/>
    <n v="0"/>
    <n v="0"/>
    <x v="1"/>
  </r>
  <r>
    <n v="3297"/>
    <s v="Fábio Nobre"/>
    <x v="0"/>
    <d v="2024-05-02T00:00:00"/>
    <x v="0"/>
    <n v="15"/>
    <x v="2"/>
    <x v="0"/>
    <x v="0"/>
    <s v="Yes"/>
    <n v="20"/>
    <n v="7"/>
    <x v="12"/>
  </r>
  <r>
    <n v="3298"/>
    <s v="Gabriel Oliveira"/>
    <x v="2"/>
    <d v="2024-05-03T00:00:00"/>
    <x v="1"/>
    <n v="10"/>
    <x v="1"/>
    <x v="1"/>
    <x v="1"/>
    <s v="Yes"/>
    <n v="20"/>
    <n v="10"/>
    <x v="2"/>
  </r>
  <r>
    <n v="3299"/>
    <s v="Helena Santos"/>
    <x v="1"/>
    <d v="2024-05-04T00:00:00"/>
    <x v="0"/>
    <n v="5"/>
    <x v="2"/>
    <x v="1"/>
    <x v="1"/>
    <s v="No"/>
    <n v="0"/>
    <n v="1"/>
    <x v="4"/>
  </r>
  <r>
    <n v="3300"/>
    <s v="Ivan Carvalho"/>
    <x v="0"/>
    <d v="2024-05-05T00:00:00"/>
    <x v="1"/>
    <n v="15"/>
    <x v="0"/>
    <x v="0"/>
    <x v="0"/>
    <s v="Yes"/>
    <n v="20"/>
    <n v="15"/>
    <x v="14"/>
  </r>
  <r>
    <n v="3301"/>
    <s v="Júlia Ferreira"/>
    <x v="2"/>
    <d v="2024-05-06T00:00:00"/>
    <x v="0"/>
    <n v="10"/>
    <x v="0"/>
    <x v="1"/>
    <x v="1"/>
    <s v="Yes"/>
    <n v="20"/>
    <n v="5"/>
    <x v="13"/>
  </r>
  <r>
    <n v="3302"/>
    <s v="Karla Alves"/>
    <x v="1"/>
    <d v="2024-05-07T00:00:00"/>
    <x v="1"/>
    <n v="5"/>
    <x v="1"/>
    <x v="1"/>
    <x v="1"/>
    <s v="No"/>
    <n v="0"/>
    <n v="0"/>
    <x v="1"/>
  </r>
  <r>
    <n v="3303"/>
    <s v="Lucas Mendes"/>
    <x v="0"/>
    <d v="2024-05-08T00:00:00"/>
    <x v="0"/>
    <n v="15"/>
    <x v="2"/>
    <x v="0"/>
    <x v="0"/>
    <s v="Yes"/>
    <n v="20"/>
    <n v="20"/>
    <x v="8"/>
  </r>
  <r>
    <n v="3304"/>
    <s v="Mônica Gomes"/>
    <x v="2"/>
    <d v="2024-05-09T00:00:00"/>
    <x v="1"/>
    <n v="10"/>
    <x v="2"/>
    <x v="1"/>
    <x v="1"/>
    <s v="Yes"/>
    <n v="20"/>
    <n v="12"/>
    <x v="10"/>
  </r>
  <r>
    <n v="3305"/>
    <s v="Norberto Queiroz"/>
    <x v="1"/>
    <d v="2024-05-10T00:00:00"/>
    <x v="0"/>
    <n v="5"/>
    <x v="0"/>
    <x v="1"/>
    <x v="1"/>
    <s v="No"/>
    <n v="0"/>
    <n v="2"/>
    <x v="11"/>
  </r>
  <r>
    <n v="3306"/>
    <s v="Otávio Barros"/>
    <x v="0"/>
    <d v="2024-05-11T00:00:00"/>
    <x v="1"/>
    <n v="15"/>
    <x v="1"/>
    <x v="0"/>
    <x v="0"/>
    <s v="Yes"/>
    <n v="20"/>
    <n v="5"/>
    <x v="0"/>
  </r>
  <r>
    <n v="3307"/>
    <s v="Paula Vieira"/>
    <x v="2"/>
    <d v="2024-05-12T00:00:00"/>
    <x v="0"/>
    <n v="10"/>
    <x v="0"/>
    <x v="1"/>
    <x v="1"/>
    <s v="Yes"/>
    <n v="20"/>
    <n v="10"/>
    <x v="2"/>
  </r>
  <r>
    <n v="3308"/>
    <s v="Quentin Ramos"/>
    <x v="1"/>
    <d v="2024-05-13T00:00:00"/>
    <x v="1"/>
    <n v="5"/>
    <x v="2"/>
    <x v="1"/>
    <x v="1"/>
    <s v="No"/>
    <n v="0"/>
    <n v="0"/>
    <x v="1"/>
  </r>
  <r>
    <n v="3309"/>
    <s v="Raquel Novaes"/>
    <x v="0"/>
    <d v="2024-05-14T00:00:00"/>
    <x v="0"/>
    <n v="15"/>
    <x v="0"/>
    <x v="0"/>
    <x v="0"/>
    <s v="Yes"/>
    <n v="20"/>
    <n v="3"/>
    <x v="3"/>
  </r>
  <r>
    <n v="3310"/>
    <s v="Samantha Lopes"/>
    <x v="2"/>
    <d v="2024-05-15T00:00:00"/>
    <x v="1"/>
    <n v="10"/>
    <x v="1"/>
    <x v="1"/>
    <x v="1"/>
    <s v="Yes"/>
    <n v="20"/>
    <n v="15"/>
    <x v="7"/>
  </r>
  <r>
    <n v="3311"/>
    <s v="Tiago Martins"/>
    <x v="1"/>
    <d v="2024-05-16T00:00:00"/>
    <x v="0"/>
    <n v="5"/>
    <x v="0"/>
    <x v="1"/>
    <x v="1"/>
    <s v="No"/>
    <n v="0"/>
    <n v="1"/>
    <x v="4"/>
  </r>
  <r>
    <n v="3312"/>
    <s v="Ulysses Guimarães"/>
    <x v="0"/>
    <d v="2024-05-17T00:00:00"/>
    <x v="1"/>
    <n v="15"/>
    <x v="2"/>
    <x v="0"/>
    <x v="0"/>
    <s v="Yes"/>
    <n v="20"/>
    <n v="7"/>
    <x v="12"/>
  </r>
  <r>
    <n v="3313"/>
    <s v="Vanessa Silva"/>
    <x v="2"/>
    <d v="2024-05-18T00:00:00"/>
    <x v="0"/>
    <n v="10"/>
    <x v="0"/>
    <x v="1"/>
    <x v="1"/>
    <s v="Yes"/>
    <n v="20"/>
    <n v="10"/>
    <x v="2"/>
  </r>
  <r>
    <n v="3314"/>
    <s v="William Carneiro"/>
    <x v="1"/>
    <d v="2024-05-19T00:00:00"/>
    <x v="1"/>
    <n v="5"/>
    <x v="1"/>
    <x v="1"/>
    <x v="1"/>
    <s v="No"/>
    <n v="0"/>
    <n v="0"/>
    <x v="1"/>
  </r>
  <r>
    <n v="3315"/>
    <s v="Ximena Rocha"/>
    <x v="0"/>
    <d v="2024-05-20T00:00:00"/>
    <x v="0"/>
    <n v="15"/>
    <x v="0"/>
    <x v="0"/>
    <x v="0"/>
    <s v="Yes"/>
    <n v="20"/>
    <n v="20"/>
    <x v="8"/>
  </r>
  <r>
    <n v="3316"/>
    <s v="Yasmin Figueiredo"/>
    <x v="2"/>
    <d v="2024-05-21T00:00:00"/>
    <x v="1"/>
    <n v="10"/>
    <x v="2"/>
    <x v="1"/>
    <x v="1"/>
    <s v="Yes"/>
    <n v="20"/>
    <n v="15"/>
    <x v="7"/>
  </r>
  <r>
    <n v="3317"/>
    <s v="Zara Cunha"/>
    <x v="1"/>
    <d v="2024-05-22T00:00:00"/>
    <x v="0"/>
    <n v="5"/>
    <x v="0"/>
    <x v="1"/>
    <x v="1"/>
    <s v="No"/>
    <n v="0"/>
    <n v="1"/>
    <x v="4"/>
  </r>
  <r>
    <n v="3318"/>
    <s v="Alan Teixeira"/>
    <x v="0"/>
    <d v="2024-05-23T00:00:00"/>
    <x v="1"/>
    <n v="15"/>
    <x v="1"/>
    <x v="0"/>
    <x v="0"/>
    <s v="Yes"/>
    <n v="20"/>
    <n v="3"/>
    <x v="3"/>
  </r>
  <r>
    <n v="3319"/>
    <s v="Bárbara Oliveira"/>
    <x v="2"/>
    <d v="2024-05-24T00:00:00"/>
    <x v="0"/>
    <n v="10"/>
    <x v="0"/>
    <x v="1"/>
    <x v="1"/>
    <s v="Yes"/>
    <n v="20"/>
    <n v="10"/>
    <x v="2"/>
  </r>
  <r>
    <n v="3320"/>
    <s v="Carlos Junqueira"/>
    <x v="1"/>
    <d v="2024-05-25T00:00:00"/>
    <x v="1"/>
    <n v="5"/>
    <x v="2"/>
    <x v="1"/>
    <x v="1"/>
    <s v="No"/>
    <n v="0"/>
    <n v="0"/>
    <x v="1"/>
  </r>
  <r>
    <n v="3321"/>
    <s v="Daniela Moura"/>
    <x v="0"/>
    <d v="2024-05-26T00:00:00"/>
    <x v="0"/>
    <n v="15"/>
    <x v="0"/>
    <x v="0"/>
    <x v="0"/>
    <s v="Yes"/>
    <n v="20"/>
    <n v="5"/>
    <x v="0"/>
  </r>
  <r>
    <n v="3322"/>
    <s v="Eduardo Lima"/>
    <x v="2"/>
    <d v="2024-05-27T00:00:00"/>
    <x v="1"/>
    <n v="10"/>
    <x v="1"/>
    <x v="1"/>
    <x v="1"/>
    <s v="Yes"/>
    <n v="20"/>
    <n v="15"/>
    <x v="7"/>
  </r>
  <r>
    <n v="3323"/>
    <s v="Fabiana Araújo"/>
    <x v="1"/>
    <d v="2024-05-28T00:00:00"/>
    <x v="0"/>
    <n v="5"/>
    <x v="0"/>
    <x v="1"/>
    <x v="1"/>
    <s v="No"/>
    <n v="0"/>
    <n v="1"/>
    <x v="4"/>
  </r>
  <r>
    <n v="3324"/>
    <s v="Geraldo Ribeiro"/>
    <x v="0"/>
    <d v="2024-05-29T00:00:00"/>
    <x v="1"/>
    <n v="15"/>
    <x v="2"/>
    <x v="0"/>
    <x v="0"/>
    <s v="Yes"/>
    <n v="20"/>
    <n v="20"/>
    <x v="8"/>
  </r>
  <r>
    <n v="3325"/>
    <s v="Héctor Vargas"/>
    <x v="2"/>
    <d v="2024-05-30T00:00:00"/>
    <x v="0"/>
    <n v="10"/>
    <x v="2"/>
    <x v="1"/>
    <x v="1"/>
    <s v="Yes"/>
    <n v="20"/>
    <n v="15"/>
    <x v="7"/>
  </r>
  <r>
    <n v="3326"/>
    <s v="Isabela Fonseca"/>
    <x v="1"/>
    <d v="2024-05-31T00:00:00"/>
    <x v="1"/>
    <n v="5"/>
    <x v="1"/>
    <x v="1"/>
    <x v="1"/>
    <s v="No"/>
    <n v="0"/>
    <n v="0"/>
    <x v="1"/>
  </r>
  <r>
    <n v="3327"/>
    <s v="João Pedro Almeida"/>
    <x v="0"/>
    <d v="2024-06-01T00:00:00"/>
    <x v="0"/>
    <n v="15"/>
    <x v="0"/>
    <x v="0"/>
    <x v="0"/>
    <s v="Yes"/>
    <n v="20"/>
    <n v="7"/>
    <x v="12"/>
  </r>
  <r>
    <n v="3328"/>
    <s v="Klara Costa"/>
    <x v="2"/>
    <d v="2024-06-02T00:00:00"/>
    <x v="1"/>
    <n v="10"/>
    <x v="1"/>
    <x v="1"/>
    <x v="1"/>
    <s v="Yes"/>
    <n v="20"/>
    <n v="10"/>
    <x v="2"/>
  </r>
  <r>
    <n v="3329"/>
    <s v="Luciana Mendes"/>
    <x v="1"/>
    <d v="2024-06-03T00:00:00"/>
    <x v="0"/>
    <n v="5"/>
    <x v="2"/>
    <x v="1"/>
    <x v="1"/>
    <s v="No"/>
    <n v="0"/>
    <n v="1"/>
    <x v="4"/>
  </r>
  <r>
    <n v="3330"/>
    <s v="Marcelo Gouveia"/>
    <x v="0"/>
    <d v="2024-06-04T00:00:00"/>
    <x v="1"/>
    <n v="15"/>
    <x v="0"/>
    <x v="0"/>
    <x v="0"/>
    <s v="Yes"/>
    <n v="20"/>
    <n v="15"/>
    <x v="14"/>
  </r>
  <r>
    <n v="3331"/>
    <s v="Nívea Borges"/>
    <x v="2"/>
    <d v="2024-06-05T00:00:00"/>
    <x v="0"/>
    <n v="10"/>
    <x v="0"/>
    <x v="1"/>
    <x v="1"/>
    <s v="Yes"/>
    <n v="20"/>
    <n v="5"/>
    <x v="13"/>
  </r>
  <r>
    <n v="3332"/>
    <s v="Oscar Nogueira"/>
    <x v="1"/>
    <d v="2024-06-06T00:00:00"/>
    <x v="1"/>
    <n v="5"/>
    <x v="1"/>
    <x v="1"/>
    <x v="1"/>
    <s v="No"/>
    <n v="0"/>
    <n v="0"/>
    <x v="1"/>
  </r>
  <r>
    <n v="3333"/>
    <s v="Patrícia Alves"/>
    <x v="0"/>
    <d v="2024-06-07T00:00:00"/>
    <x v="0"/>
    <n v="15"/>
    <x v="2"/>
    <x v="0"/>
    <x v="0"/>
    <s v="Yes"/>
    <n v="20"/>
    <n v="20"/>
    <x v="8"/>
  </r>
  <r>
    <n v="3334"/>
    <s v="Rafaela Silva"/>
    <x v="2"/>
    <d v="2024-06-08T00:00:00"/>
    <x v="1"/>
    <n v="10"/>
    <x v="2"/>
    <x v="1"/>
    <x v="1"/>
    <s v="Yes"/>
    <n v="20"/>
    <n v="12"/>
    <x v="10"/>
  </r>
  <r>
    <n v="3335"/>
    <s v="Samantha Moraes"/>
    <x v="1"/>
    <d v="2024-06-09T00:00:00"/>
    <x v="0"/>
    <n v="5"/>
    <x v="0"/>
    <x v="1"/>
    <x v="1"/>
    <s v="No"/>
    <n v="0"/>
    <n v="2"/>
    <x v="11"/>
  </r>
  <r>
    <n v="3336"/>
    <s v="Tatiana Rocha"/>
    <x v="1"/>
    <d v="2024-06-10T00:00:00"/>
    <x v="0"/>
    <n v="5"/>
    <x v="0"/>
    <x v="1"/>
    <x v="1"/>
    <s v="No"/>
    <n v="0"/>
    <n v="0"/>
    <x v="1"/>
  </r>
  <r>
    <n v="3337"/>
    <s v="Ulisses Tavares"/>
    <x v="0"/>
    <d v="2024-06-11T00:00:00"/>
    <x v="1"/>
    <n v="15"/>
    <x v="2"/>
    <x v="0"/>
    <x v="0"/>
    <s v="Yes"/>
    <n v="20"/>
    <n v="7"/>
    <x v="12"/>
  </r>
  <r>
    <n v="3338"/>
    <s v="Víctor Lemos"/>
    <x v="2"/>
    <d v="2024-06-12T00:00:00"/>
    <x v="0"/>
    <n v="10"/>
    <x v="1"/>
    <x v="1"/>
    <x v="1"/>
    <s v="Yes"/>
    <n v="20"/>
    <n v="10"/>
    <x v="2"/>
  </r>
  <r>
    <n v="3339"/>
    <s v="Wilma Barros"/>
    <x v="1"/>
    <d v="2024-06-13T00:00:00"/>
    <x v="1"/>
    <n v="5"/>
    <x v="2"/>
    <x v="1"/>
    <x v="1"/>
    <s v="No"/>
    <n v="0"/>
    <n v="1"/>
    <x v="4"/>
  </r>
  <r>
    <n v="3340"/>
    <s v="Xavier Nascimento"/>
    <x v="0"/>
    <d v="2024-06-14T00:00:00"/>
    <x v="0"/>
    <n v="15"/>
    <x v="0"/>
    <x v="0"/>
    <x v="0"/>
    <s v="Yes"/>
    <n v="20"/>
    <n v="15"/>
    <x v="14"/>
  </r>
  <r>
    <n v="3341"/>
    <s v="Yago Pereira"/>
    <x v="2"/>
    <d v="2024-06-15T00:00:00"/>
    <x v="1"/>
    <n v="10"/>
    <x v="0"/>
    <x v="1"/>
    <x v="1"/>
    <s v="Yes"/>
    <n v="20"/>
    <n v="5"/>
    <x v="13"/>
  </r>
  <r>
    <n v="3342"/>
    <s v="Zilda Ferreira"/>
    <x v="1"/>
    <d v="2024-06-16T00:00:00"/>
    <x v="0"/>
    <n v="5"/>
    <x v="1"/>
    <x v="1"/>
    <x v="1"/>
    <s v="No"/>
    <n v="0"/>
    <n v="0"/>
    <x v="1"/>
  </r>
  <r>
    <n v="3343"/>
    <s v="Amanda Lopes"/>
    <x v="0"/>
    <d v="2024-06-17T00:00:00"/>
    <x v="1"/>
    <n v="15"/>
    <x v="2"/>
    <x v="0"/>
    <x v="0"/>
    <s v="Yes"/>
    <n v="20"/>
    <n v="20"/>
    <x v="8"/>
  </r>
  <r>
    <n v="3344"/>
    <s v="Bruno Miranda"/>
    <x v="2"/>
    <d v="2024-06-18T00:00:00"/>
    <x v="0"/>
    <n v="10"/>
    <x v="2"/>
    <x v="1"/>
    <x v="1"/>
    <s v="Yes"/>
    <n v="20"/>
    <n v="12"/>
    <x v="10"/>
  </r>
  <r>
    <n v="3345"/>
    <s v="Célia Torres"/>
    <x v="1"/>
    <d v="2024-06-19T00:00:00"/>
    <x v="1"/>
    <n v="5"/>
    <x v="0"/>
    <x v="1"/>
    <x v="1"/>
    <s v="No"/>
    <n v="0"/>
    <n v="2"/>
    <x v="11"/>
  </r>
  <r>
    <n v="3346"/>
    <s v="Diogo Souza"/>
    <x v="0"/>
    <d v="2024-06-20T00:00:00"/>
    <x v="0"/>
    <n v="15"/>
    <x v="1"/>
    <x v="0"/>
    <x v="0"/>
    <s v="Yes"/>
    <n v="20"/>
    <n v="5"/>
    <x v="0"/>
  </r>
  <r>
    <n v="3347"/>
    <s v="Elisa Castro"/>
    <x v="2"/>
    <d v="2024-06-21T00:00:00"/>
    <x v="1"/>
    <n v="10"/>
    <x v="0"/>
    <x v="1"/>
    <x v="1"/>
    <s v="Yes"/>
    <n v="20"/>
    <n v="10"/>
    <x v="2"/>
  </r>
  <r>
    <n v="3348"/>
    <s v="Fátima Lima"/>
    <x v="1"/>
    <d v="2024-06-22T00:00:00"/>
    <x v="0"/>
    <n v="5"/>
    <x v="2"/>
    <x v="1"/>
    <x v="1"/>
    <s v="No"/>
    <n v="0"/>
    <n v="0"/>
    <x v="1"/>
  </r>
  <r>
    <n v="3349"/>
    <s v="Geraldo Ribeiro"/>
    <x v="0"/>
    <d v="2024-06-23T00:00:00"/>
    <x v="1"/>
    <n v="15"/>
    <x v="0"/>
    <x v="0"/>
    <x v="0"/>
    <s v="Yes"/>
    <n v="20"/>
    <n v="3"/>
    <x v="3"/>
  </r>
  <r>
    <n v="3350"/>
    <s v="Hélio Martins"/>
    <x v="2"/>
    <d v="2024-06-24T00:00:00"/>
    <x v="0"/>
    <n v="10"/>
    <x v="1"/>
    <x v="1"/>
    <x v="1"/>
    <s v="Yes"/>
    <n v="20"/>
    <n v="15"/>
    <x v="7"/>
  </r>
  <r>
    <n v="3351"/>
    <s v="Íris Santos"/>
    <x v="1"/>
    <d v="2024-06-25T00:00:00"/>
    <x v="1"/>
    <n v="5"/>
    <x v="0"/>
    <x v="1"/>
    <x v="1"/>
    <s v="No"/>
    <n v="0"/>
    <n v="1"/>
    <x v="4"/>
  </r>
  <r>
    <n v="3352"/>
    <s v="João Marcelo"/>
    <x v="0"/>
    <d v="2024-06-26T00:00:00"/>
    <x v="0"/>
    <n v="15"/>
    <x v="2"/>
    <x v="0"/>
    <x v="0"/>
    <s v="Yes"/>
    <n v="20"/>
    <n v="7"/>
    <x v="12"/>
  </r>
  <r>
    <n v="3353"/>
    <s v="Larissa Gomes"/>
    <x v="2"/>
    <d v="2024-06-27T00:00:00"/>
    <x v="1"/>
    <n v="10"/>
    <x v="0"/>
    <x v="1"/>
    <x v="1"/>
    <s v="Yes"/>
    <n v="20"/>
    <n v="10"/>
    <x v="2"/>
  </r>
  <r>
    <n v="3354"/>
    <s v="Márcio Silva"/>
    <x v="1"/>
    <d v="2024-06-28T00:00:00"/>
    <x v="0"/>
    <n v="5"/>
    <x v="1"/>
    <x v="1"/>
    <x v="1"/>
    <s v="No"/>
    <n v="0"/>
    <n v="0"/>
    <x v="1"/>
  </r>
  <r>
    <n v="3355"/>
    <s v="Nadia Costa"/>
    <x v="0"/>
    <d v="2024-06-29T00:00:00"/>
    <x v="1"/>
    <n v="15"/>
    <x v="0"/>
    <x v="0"/>
    <x v="0"/>
    <s v="Yes"/>
    <n v="20"/>
    <n v="20"/>
    <x v="8"/>
  </r>
  <r>
    <n v="3356"/>
    <s v="Oscar Almeida"/>
    <x v="2"/>
    <d v="2024-06-30T00:00:00"/>
    <x v="0"/>
    <n v="10"/>
    <x v="2"/>
    <x v="1"/>
    <x v="1"/>
    <s v="Yes"/>
    <n v="20"/>
    <n v="15"/>
    <x v="7"/>
  </r>
  <r>
    <n v="3357"/>
    <s v="Patricia Soares"/>
    <x v="1"/>
    <d v="2024-07-01T00:00:00"/>
    <x v="1"/>
    <n v="5"/>
    <x v="0"/>
    <x v="1"/>
    <x v="1"/>
    <s v="No"/>
    <n v="0"/>
    <n v="1"/>
    <x v="4"/>
  </r>
  <r>
    <n v="3358"/>
    <s v="Quênia Barros"/>
    <x v="0"/>
    <d v="2024-07-02T00:00:00"/>
    <x v="0"/>
    <n v="15"/>
    <x v="1"/>
    <x v="0"/>
    <x v="0"/>
    <s v="Yes"/>
    <n v="20"/>
    <n v="3"/>
    <x v="3"/>
  </r>
  <r>
    <n v="3359"/>
    <s v="Rafael Torres"/>
    <x v="2"/>
    <d v="2024-07-03T00:00:00"/>
    <x v="1"/>
    <n v="10"/>
    <x v="0"/>
    <x v="1"/>
    <x v="1"/>
    <s v="Yes"/>
    <n v="20"/>
    <n v="10"/>
    <x v="2"/>
  </r>
  <r>
    <n v="3360"/>
    <s v="Silvia Nascimento"/>
    <x v="1"/>
    <d v="2024-07-04T00:00:00"/>
    <x v="0"/>
    <n v="5"/>
    <x v="2"/>
    <x v="1"/>
    <x v="1"/>
    <s v="No"/>
    <n v="0"/>
    <n v="0"/>
    <x v="1"/>
  </r>
  <r>
    <n v="3361"/>
    <s v="Tiago Mendes"/>
    <x v="0"/>
    <d v="2024-07-05T00:00:00"/>
    <x v="1"/>
    <n v="15"/>
    <x v="0"/>
    <x v="0"/>
    <x v="0"/>
    <s v="Yes"/>
    <n v="20"/>
    <n v="15"/>
    <x v="14"/>
  </r>
  <r>
    <n v="3362"/>
    <s v="Ursula Silva"/>
    <x v="2"/>
    <d v="2024-07-06T00:00:00"/>
    <x v="0"/>
    <n v="10"/>
    <x v="1"/>
    <x v="1"/>
    <x v="1"/>
    <s v="Yes"/>
    <n v="20"/>
    <n v="15"/>
    <x v="7"/>
  </r>
  <r>
    <n v="3363"/>
    <s v="Vanessa Moraes"/>
    <x v="1"/>
    <d v="2024-07-07T00:00:00"/>
    <x v="1"/>
    <n v="5"/>
    <x v="0"/>
    <x v="1"/>
    <x v="1"/>
    <s v="No"/>
    <n v="0"/>
    <n v="1"/>
    <x v="4"/>
  </r>
  <r>
    <n v="3364"/>
    <s v="Waldir Junior"/>
    <x v="0"/>
    <d v="2024-07-08T00:00:00"/>
    <x v="0"/>
    <n v="15"/>
    <x v="2"/>
    <x v="0"/>
    <x v="0"/>
    <s v="Yes"/>
    <n v="20"/>
    <n v="7"/>
    <x v="12"/>
  </r>
  <r>
    <n v="3365"/>
    <s v="Xavier Lopes"/>
    <x v="2"/>
    <d v="2024-07-09T00:00:00"/>
    <x v="1"/>
    <n v="10"/>
    <x v="0"/>
    <x v="1"/>
    <x v="1"/>
    <s v="Yes"/>
    <n v="20"/>
    <n v="10"/>
    <x v="2"/>
  </r>
  <r>
    <n v="3366"/>
    <s v="Yolanda Freitas"/>
    <x v="1"/>
    <d v="2024-07-10T00:00:00"/>
    <x v="0"/>
    <n v="5"/>
    <x v="0"/>
    <x v="1"/>
    <x v="1"/>
    <s v="No"/>
    <n v="0"/>
    <n v="0"/>
    <x v="1"/>
  </r>
  <r>
    <n v="3367"/>
    <s v="Zacarias Nunes"/>
    <x v="0"/>
    <d v="2024-07-11T00:00:00"/>
    <x v="1"/>
    <n v="15"/>
    <x v="2"/>
    <x v="0"/>
    <x v="0"/>
    <s v="Yes"/>
    <n v="20"/>
    <n v="7"/>
    <x v="12"/>
  </r>
  <r>
    <n v="3368"/>
    <s v="Ana Clara Barreto"/>
    <x v="2"/>
    <d v="2024-07-12T00:00:00"/>
    <x v="0"/>
    <n v="10"/>
    <x v="1"/>
    <x v="1"/>
    <x v="1"/>
    <s v="Yes"/>
    <n v="20"/>
    <n v="10"/>
    <x v="2"/>
  </r>
  <r>
    <n v="3369"/>
    <s v="Bruno Henrique"/>
    <x v="1"/>
    <d v="2024-07-13T00:00:00"/>
    <x v="1"/>
    <n v="5"/>
    <x v="2"/>
    <x v="1"/>
    <x v="1"/>
    <s v="No"/>
    <n v="0"/>
    <n v="1"/>
    <x v="4"/>
  </r>
  <r>
    <n v="3370"/>
    <s v="Carlos Eduardo"/>
    <x v="0"/>
    <d v="2024-07-14T00:00:00"/>
    <x v="0"/>
    <n v="15"/>
    <x v="0"/>
    <x v="0"/>
    <x v="0"/>
    <s v="Yes"/>
    <n v="20"/>
    <n v="15"/>
    <x v="14"/>
  </r>
  <r>
    <n v="3371"/>
    <s v="Débora Lima"/>
    <x v="2"/>
    <d v="2024-07-15T00:00:00"/>
    <x v="1"/>
    <n v="10"/>
    <x v="0"/>
    <x v="1"/>
    <x v="1"/>
    <s v="Yes"/>
    <n v="20"/>
    <n v="5"/>
    <x v="13"/>
  </r>
  <r>
    <n v="3372"/>
    <s v="Elisa Neves"/>
    <x v="1"/>
    <d v="2024-07-16T00:00:00"/>
    <x v="0"/>
    <n v="5"/>
    <x v="1"/>
    <x v="1"/>
    <x v="1"/>
    <s v="No"/>
    <n v="0"/>
    <n v="0"/>
    <x v="1"/>
  </r>
  <r>
    <n v="3373"/>
    <s v="Fabiano Gomes"/>
    <x v="0"/>
    <d v="2024-07-17T00:00:00"/>
    <x v="1"/>
    <n v="15"/>
    <x v="2"/>
    <x v="0"/>
    <x v="0"/>
    <s v="Yes"/>
    <n v="20"/>
    <n v="20"/>
    <x v="8"/>
  </r>
  <r>
    <n v="3374"/>
    <s v="Gisele Oliveira"/>
    <x v="2"/>
    <d v="2024-07-18T00:00:00"/>
    <x v="0"/>
    <n v="10"/>
    <x v="2"/>
    <x v="1"/>
    <x v="1"/>
    <s v="Yes"/>
    <n v="20"/>
    <n v="12"/>
    <x v="10"/>
  </r>
  <r>
    <n v="3375"/>
    <s v="Héctor Silva"/>
    <x v="1"/>
    <d v="2024-07-19T00:00:00"/>
    <x v="1"/>
    <n v="5"/>
    <x v="0"/>
    <x v="1"/>
    <x v="1"/>
    <s v="No"/>
    <n v="0"/>
    <n v="2"/>
    <x v="11"/>
  </r>
  <r>
    <n v="3376"/>
    <s v="Igor Martins"/>
    <x v="0"/>
    <d v="2024-07-20T00:00:00"/>
    <x v="0"/>
    <n v="15"/>
    <x v="1"/>
    <x v="0"/>
    <x v="0"/>
    <s v="Yes"/>
    <n v="20"/>
    <n v="5"/>
    <x v="0"/>
  </r>
  <r>
    <n v="3377"/>
    <s v="Joana Figueiredo"/>
    <x v="2"/>
    <d v="2024-07-21T00:00:00"/>
    <x v="1"/>
    <n v="10"/>
    <x v="0"/>
    <x v="1"/>
    <x v="1"/>
    <s v="Yes"/>
    <n v="20"/>
    <n v="10"/>
    <x v="2"/>
  </r>
  <r>
    <n v="3378"/>
    <s v="Kleber Machado"/>
    <x v="1"/>
    <d v="2024-07-22T00:00:00"/>
    <x v="0"/>
    <n v="5"/>
    <x v="2"/>
    <x v="1"/>
    <x v="1"/>
    <s v="No"/>
    <n v="0"/>
    <n v="0"/>
    <x v="1"/>
  </r>
  <r>
    <n v="3379"/>
    <s v="Luciana Santos"/>
    <x v="0"/>
    <d v="2024-07-23T00:00:00"/>
    <x v="1"/>
    <n v="15"/>
    <x v="0"/>
    <x v="0"/>
    <x v="0"/>
    <s v="Yes"/>
    <n v="20"/>
    <n v="3"/>
    <x v="3"/>
  </r>
  <r>
    <n v="3380"/>
    <s v="Marcos Teixeira"/>
    <x v="2"/>
    <d v="2024-07-24T00:00:00"/>
    <x v="0"/>
    <n v="10"/>
    <x v="1"/>
    <x v="1"/>
    <x v="1"/>
    <s v="Yes"/>
    <n v="20"/>
    <n v="15"/>
    <x v="7"/>
  </r>
  <r>
    <n v="3381"/>
    <s v="Natalia Costa"/>
    <x v="1"/>
    <d v="2024-07-25T00:00:00"/>
    <x v="1"/>
    <n v="5"/>
    <x v="0"/>
    <x v="1"/>
    <x v="1"/>
    <s v="No"/>
    <n v="0"/>
    <n v="1"/>
    <x v="4"/>
  </r>
  <r>
    <n v="3382"/>
    <s v="Oscar Ribeiro"/>
    <x v="0"/>
    <d v="2024-07-26T00:00:00"/>
    <x v="0"/>
    <n v="15"/>
    <x v="2"/>
    <x v="0"/>
    <x v="0"/>
    <s v="Yes"/>
    <n v="20"/>
    <n v="7"/>
    <x v="12"/>
  </r>
  <r>
    <n v="3383"/>
    <s v="Patricia Almeida"/>
    <x v="2"/>
    <d v="2024-07-27T00:00:00"/>
    <x v="1"/>
    <n v="10"/>
    <x v="0"/>
    <x v="1"/>
    <x v="1"/>
    <s v="Yes"/>
    <n v="20"/>
    <n v="10"/>
    <x v="2"/>
  </r>
  <r>
    <n v="3384"/>
    <s v="Quirino Junior"/>
    <x v="1"/>
    <d v="2024-07-28T00:00:00"/>
    <x v="0"/>
    <n v="5"/>
    <x v="1"/>
    <x v="1"/>
    <x v="1"/>
    <s v="No"/>
    <n v="0"/>
    <n v="0"/>
    <x v="1"/>
  </r>
  <r>
    <n v="3385"/>
    <s v="Renata Machado"/>
    <x v="0"/>
    <d v="2024-07-29T00:00:00"/>
    <x v="1"/>
    <n v="15"/>
    <x v="0"/>
    <x v="0"/>
    <x v="0"/>
    <s v="Yes"/>
    <n v="20"/>
    <n v="20"/>
    <x v="8"/>
  </r>
  <r>
    <n v="3386"/>
    <s v="Sônia Alves"/>
    <x v="2"/>
    <d v="2024-07-30T00:00:00"/>
    <x v="0"/>
    <n v="10"/>
    <x v="2"/>
    <x v="1"/>
    <x v="1"/>
    <s v="Yes"/>
    <n v="20"/>
    <n v="15"/>
    <x v="7"/>
  </r>
  <r>
    <n v="3387"/>
    <s v="Tiago Nunes"/>
    <x v="1"/>
    <d v="2024-07-31T00:00:00"/>
    <x v="1"/>
    <n v="5"/>
    <x v="0"/>
    <x v="1"/>
    <x v="1"/>
    <s v="No"/>
    <n v="0"/>
    <n v="1"/>
    <x v="4"/>
  </r>
  <r>
    <n v="3388"/>
    <s v="Ulysses Pereira"/>
    <x v="0"/>
    <d v="2024-08-01T00:00:00"/>
    <x v="0"/>
    <n v="15"/>
    <x v="1"/>
    <x v="0"/>
    <x v="0"/>
    <s v="Yes"/>
    <n v="20"/>
    <n v="3"/>
    <x v="3"/>
  </r>
  <r>
    <n v="3389"/>
    <s v="Vanessa Lima"/>
    <x v="2"/>
    <d v="2024-08-02T00:00:00"/>
    <x v="1"/>
    <n v="10"/>
    <x v="0"/>
    <x v="1"/>
    <x v="1"/>
    <s v="Yes"/>
    <n v="20"/>
    <n v="10"/>
    <x v="2"/>
  </r>
  <r>
    <n v="3390"/>
    <s v="Wagner Santos"/>
    <x v="1"/>
    <d v="2024-08-03T00:00:00"/>
    <x v="0"/>
    <n v="5"/>
    <x v="2"/>
    <x v="1"/>
    <x v="1"/>
    <s v="No"/>
    <n v="0"/>
    <n v="0"/>
    <x v="1"/>
  </r>
  <r>
    <n v="3391"/>
    <s v="Xuxa Meneghel"/>
    <x v="0"/>
    <d v="2024-08-04T00:00:00"/>
    <x v="1"/>
    <n v="15"/>
    <x v="0"/>
    <x v="0"/>
    <x v="0"/>
    <s v="Yes"/>
    <n v="20"/>
    <n v="15"/>
    <x v="14"/>
  </r>
  <r>
    <n v="3392"/>
    <s v="Yasmin Silva"/>
    <x v="2"/>
    <d v="2024-08-05T00:00:00"/>
    <x v="0"/>
    <n v="10"/>
    <x v="1"/>
    <x v="1"/>
    <x v="1"/>
    <s v="Yes"/>
    <n v="20"/>
    <n v="15"/>
    <x v="7"/>
  </r>
  <r>
    <n v="3393"/>
    <s v="Zacarias de Souza"/>
    <x v="1"/>
    <d v="2024-08-06T00:00:00"/>
    <x v="1"/>
    <n v="5"/>
    <x v="0"/>
    <x v="1"/>
    <x v="1"/>
    <s v="No"/>
    <n v="0"/>
    <n v="1"/>
    <x v="4"/>
  </r>
  <r>
    <n v="3394"/>
    <s v="André Lima"/>
    <x v="0"/>
    <d v="2024-08-07T00:00:00"/>
    <x v="0"/>
    <n v="15"/>
    <x v="2"/>
    <x v="0"/>
    <x v="0"/>
    <s v="Yes"/>
    <n v="20"/>
    <n v="7"/>
    <x v="12"/>
  </r>
  <r>
    <n v="3395"/>
    <s v="Bianca Freitas"/>
    <x v="2"/>
    <d v="2024-08-08T00:00:00"/>
    <x v="1"/>
    <n v="10"/>
    <x v="0"/>
    <x v="1"/>
    <x v="1"/>
    <s v="Yes"/>
    <n v="20"/>
    <n v="10"/>
    <x v="2"/>
  </r>
  <r>
    <n v="3396"/>
    <s v="Caio Mendes"/>
    <x v="1"/>
    <d v="2024-08-09T00:00:00"/>
    <x v="0"/>
    <n v="5"/>
    <x v="1"/>
    <x v="1"/>
    <x v="1"/>
    <s v="No"/>
    <n v="0"/>
    <n v="0"/>
    <x v="1"/>
  </r>
  <r>
    <n v="3397"/>
    <s v="Daniela Moura"/>
    <x v="0"/>
    <d v="2024-08-10T00:00:00"/>
    <x v="1"/>
    <n v="15"/>
    <x v="0"/>
    <x v="0"/>
    <x v="0"/>
    <s v="Yes"/>
    <n v="20"/>
    <n v="20"/>
    <x v="8"/>
  </r>
  <r>
    <n v="3398"/>
    <s v="Eduardo Costa"/>
    <x v="2"/>
    <d v="2024-08-11T00:00:00"/>
    <x v="0"/>
    <n v="10"/>
    <x v="2"/>
    <x v="1"/>
    <x v="1"/>
    <s v="Yes"/>
    <n v="20"/>
    <n v="15"/>
    <x v="7"/>
  </r>
  <r>
    <n v="3399"/>
    <s v="Fernanda Gomes"/>
    <x v="1"/>
    <d v="2024-08-12T00:00:00"/>
    <x v="1"/>
    <n v="5"/>
    <x v="0"/>
    <x v="1"/>
    <x v="1"/>
    <s v="No"/>
    <n v="0"/>
    <n v="1"/>
    <x v="4"/>
  </r>
  <r>
    <n v="3400"/>
    <s v="Guilherme Souza"/>
    <x v="0"/>
    <d v="2024-08-13T00:00:00"/>
    <x v="0"/>
    <n v="15"/>
    <x v="1"/>
    <x v="0"/>
    <x v="0"/>
    <s v="Yes"/>
    <n v="20"/>
    <n v="5"/>
    <x v="0"/>
  </r>
  <r>
    <n v="3401"/>
    <s v="Helena Ribeiro"/>
    <x v="2"/>
    <d v="2024-08-14T00:00:00"/>
    <x v="1"/>
    <n v="10"/>
    <x v="0"/>
    <x v="1"/>
    <x v="1"/>
    <s v="Yes"/>
    <n v="20"/>
    <n v="10"/>
    <x v="2"/>
  </r>
  <r>
    <n v="3402"/>
    <s v="Igor Santos"/>
    <x v="1"/>
    <d v="2024-08-15T00:00:00"/>
    <x v="0"/>
    <n v="5"/>
    <x v="2"/>
    <x v="1"/>
    <x v="1"/>
    <s v="No"/>
    <n v="0"/>
    <n v="0"/>
    <x v="1"/>
  </r>
  <r>
    <n v="3403"/>
    <s v="João Carvalho"/>
    <x v="0"/>
    <d v="2024-08-16T00:00:00"/>
    <x v="1"/>
    <n v="15"/>
    <x v="0"/>
    <x v="0"/>
    <x v="0"/>
    <s v="Yes"/>
    <n v="20"/>
    <n v="3"/>
    <x v="3"/>
  </r>
  <r>
    <n v="3404"/>
    <s v="Klara Fagundes"/>
    <x v="2"/>
    <d v="2024-08-17T00:00:00"/>
    <x v="0"/>
    <n v="10"/>
    <x v="1"/>
    <x v="1"/>
    <x v="1"/>
    <s v="Yes"/>
    <n v="20"/>
    <n v="15"/>
    <x v="7"/>
  </r>
  <r>
    <n v="3405"/>
    <s v="Lúcia Mendonça"/>
    <x v="1"/>
    <d v="2024-08-18T00:00:00"/>
    <x v="1"/>
    <n v="5"/>
    <x v="0"/>
    <x v="1"/>
    <x v="1"/>
    <s v="No"/>
    <n v="0"/>
    <n v="1"/>
    <x v="4"/>
  </r>
  <r>
    <n v="3406"/>
    <s v="Marcelo Novaes"/>
    <x v="1"/>
    <d v="2024-08-19T00:00:00"/>
    <x v="0"/>
    <n v="5"/>
    <x v="0"/>
    <x v="1"/>
    <x v="1"/>
    <s v="No"/>
    <n v="0"/>
    <n v="0"/>
    <x v="1"/>
  </r>
  <r>
    <n v="3407"/>
    <s v="Nina Pacheco"/>
    <x v="0"/>
    <d v="2024-08-20T00:00:00"/>
    <x v="1"/>
    <n v="15"/>
    <x v="2"/>
    <x v="0"/>
    <x v="0"/>
    <s v="Yes"/>
    <n v="20"/>
    <n v="7"/>
    <x v="12"/>
  </r>
  <r>
    <n v="3408"/>
    <s v="Olívia Rios"/>
    <x v="2"/>
    <d v="2024-08-21T00:00:00"/>
    <x v="0"/>
    <n v="10"/>
    <x v="1"/>
    <x v="1"/>
    <x v="1"/>
    <s v="Yes"/>
    <n v="20"/>
    <n v="10"/>
    <x v="2"/>
  </r>
  <r>
    <n v="3409"/>
    <s v="Paulo Quintana"/>
    <x v="1"/>
    <d v="2024-08-22T00:00:00"/>
    <x v="1"/>
    <n v="5"/>
    <x v="2"/>
    <x v="1"/>
    <x v="1"/>
    <s v="No"/>
    <n v="0"/>
    <n v="1"/>
    <x v="4"/>
  </r>
  <r>
    <n v="3410"/>
    <s v="Raquel Domingos"/>
    <x v="0"/>
    <d v="2024-08-23T00:00:00"/>
    <x v="0"/>
    <n v="15"/>
    <x v="0"/>
    <x v="0"/>
    <x v="0"/>
    <s v="Yes"/>
    <n v="20"/>
    <n v="15"/>
    <x v="14"/>
  </r>
  <r>
    <n v="3411"/>
    <s v="Samuel Viana"/>
    <x v="2"/>
    <d v="2024-08-24T00:00:00"/>
    <x v="1"/>
    <n v="10"/>
    <x v="0"/>
    <x v="1"/>
    <x v="1"/>
    <s v="Yes"/>
    <n v="20"/>
    <n v="5"/>
    <x v="13"/>
  </r>
  <r>
    <n v="3412"/>
    <s v="Tatiane Rocha"/>
    <x v="1"/>
    <d v="2024-08-25T00:00:00"/>
    <x v="0"/>
    <n v="5"/>
    <x v="1"/>
    <x v="1"/>
    <x v="1"/>
    <s v="No"/>
    <n v="0"/>
    <n v="0"/>
    <x v="1"/>
  </r>
  <r>
    <n v="3413"/>
    <s v="Ulysses Farias"/>
    <x v="0"/>
    <d v="2024-08-26T00:00:00"/>
    <x v="1"/>
    <n v="15"/>
    <x v="2"/>
    <x v="0"/>
    <x v="0"/>
    <s v="Yes"/>
    <n v="20"/>
    <n v="20"/>
    <x v="8"/>
  </r>
  <r>
    <n v="3414"/>
    <s v="Vanessa Moreira"/>
    <x v="2"/>
    <d v="2024-08-27T00:00:00"/>
    <x v="0"/>
    <n v="10"/>
    <x v="2"/>
    <x v="1"/>
    <x v="1"/>
    <s v="Yes"/>
    <n v="20"/>
    <n v="12"/>
    <x v="10"/>
  </r>
  <r>
    <n v="3415"/>
    <s v="William Carvalho"/>
    <x v="1"/>
    <d v="2024-08-28T00:00:00"/>
    <x v="1"/>
    <n v="5"/>
    <x v="0"/>
    <x v="1"/>
    <x v="1"/>
    <s v="No"/>
    <n v="0"/>
    <n v="2"/>
    <x v="11"/>
  </r>
  <r>
    <n v="3416"/>
    <s v="Ximena Barros"/>
    <x v="0"/>
    <d v="2024-08-29T00:00:00"/>
    <x v="0"/>
    <n v="15"/>
    <x v="1"/>
    <x v="0"/>
    <x v="0"/>
    <s v="Yes"/>
    <n v="20"/>
    <n v="5"/>
    <x v="0"/>
  </r>
  <r>
    <n v="3417"/>
    <s v="Yara Machado"/>
    <x v="2"/>
    <d v="2024-08-30T00:00:00"/>
    <x v="1"/>
    <n v="10"/>
    <x v="0"/>
    <x v="1"/>
    <x v="1"/>
    <s v="Yes"/>
    <n v="20"/>
    <n v="10"/>
    <x v="2"/>
  </r>
  <r>
    <n v="3418"/>
    <s v="Zacarias Costa"/>
    <x v="1"/>
    <d v="2024-08-31T00:00:00"/>
    <x v="0"/>
    <n v="5"/>
    <x v="2"/>
    <x v="1"/>
    <x v="1"/>
    <s v="No"/>
    <n v="0"/>
    <n v="0"/>
    <x v="1"/>
  </r>
  <r>
    <n v="3419"/>
    <s v="André Lopes"/>
    <x v="0"/>
    <d v="2024-09-01T00:00:00"/>
    <x v="1"/>
    <n v="15"/>
    <x v="0"/>
    <x v="0"/>
    <x v="0"/>
    <s v="Yes"/>
    <n v="20"/>
    <n v="3"/>
    <x v="3"/>
  </r>
  <r>
    <n v="3420"/>
    <s v="Beatriz Souza"/>
    <x v="2"/>
    <d v="2024-09-02T00:00:00"/>
    <x v="0"/>
    <n v="10"/>
    <x v="1"/>
    <x v="1"/>
    <x v="1"/>
    <s v="Yes"/>
    <n v="20"/>
    <n v="15"/>
    <x v="7"/>
  </r>
  <r>
    <n v="3421"/>
    <s v="Caio Pereira"/>
    <x v="1"/>
    <d v="2024-09-03T00:00:00"/>
    <x v="1"/>
    <n v="5"/>
    <x v="0"/>
    <x v="1"/>
    <x v="1"/>
    <s v="No"/>
    <n v="0"/>
    <n v="1"/>
    <x v="4"/>
  </r>
  <r>
    <n v="3422"/>
    <s v="Daniela Araújo"/>
    <x v="0"/>
    <d v="2024-09-04T00:00:00"/>
    <x v="0"/>
    <n v="15"/>
    <x v="2"/>
    <x v="0"/>
    <x v="0"/>
    <s v="Yes"/>
    <n v="20"/>
    <n v="7"/>
    <x v="12"/>
  </r>
  <r>
    <n v="3423"/>
    <s v="Eduardo Santos"/>
    <x v="2"/>
    <d v="2024-09-05T00:00:00"/>
    <x v="1"/>
    <n v="10"/>
    <x v="0"/>
    <x v="1"/>
    <x v="1"/>
    <s v="Yes"/>
    <n v="20"/>
    <n v="10"/>
    <x v="2"/>
  </r>
  <r>
    <n v="3424"/>
    <s v="Fernanda Lima"/>
    <x v="1"/>
    <d v="2024-09-06T00:00:00"/>
    <x v="0"/>
    <n v="5"/>
    <x v="1"/>
    <x v="1"/>
    <x v="1"/>
    <s v="No"/>
    <n v="0"/>
    <n v="0"/>
    <x v="1"/>
  </r>
  <r>
    <n v="3425"/>
    <s v="Gabriel Teixeira"/>
    <x v="0"/>
    <d v="2024-09-07T00:00:00"/>
    <x v="1"/>
    <n v="15"/>
    <x v="0"/>
    <x v="0"/>
    <x v="0"/>
    <s v="Yes"/>
    <n v="20"/>
    <n v="20"/>
    <x v="8"/>
  </r>
  <r>
    <n v="3426"/>
    <s v="Helena Ribeiro"/>
    <x v="2"/>
    <d v="2024-09-08T00:00:00"/>
    <x v="0"/>
    <n v="10"/>
    <x v="2"/>
    <x v="1"/>
    <x v="1"/>
    <s v="Yes"/>
    <n v="20"/>
    <n v="15"/>
    <x v="7"/>
  </r>
  <r>
    <n v="3427"/>
    <s v="Igor Mendes"/>
    <x v="1"/>
    <d v="2024-09-09T00:00:00"/>
    <x v="1"/>
    <n v="5"/>
    <x v="0"/>
    <x v="1"/>
    <x v="1"/>
    <s v="No"/>
    <n v="0"/>
    <n v="1"/>
    <x v="4"/>
  </r>
  <r>
    <n v="3428"/>
    <s v="Joana Silveira"/>
    <x v="0"/>
    <d v="2024-09-10T00:00:00"/>
    <x v="0"/>
    <n v="15"/>
    <x v="1"/>
    <x v="0"/>
    <x v="0"/>
    <s v="Yes"/>
    <n v="20"/>
    <n v="3"/>
    <x v="3"/>
  </r>
  <r>
    <n v="3429"/>
    <s v="Lucas Martins"/>
    <x v="2"/>
    <d v="2024-09-11T00:00:00"/>
    <x v="1"/>
    <n v="10"/>
    <x v="0"/>
    <x v="1"/>
    <x v="1"/>
    <s v="Yes"/>
    <n v="20"/>
    <n v="10"/>
    <x v="2"/>
  </r>
  <r>
    <n v="3430"/>
    <s v="Marcela Gouveia"/>
    <x v="1"/>
    <d v="2024-09-12T00:00:00"/>
    <x v="0"/>
    <n v="5"/>
    <x v="2"/>
    <x v="1"/>
    <x v="1"/>
    <s v="No"/>
    <n v="0"/>
    <n v="0"/>
    <x v="1"/>
  </r>
  <r>
    <n v="3431"/>
    <s v="Nicolas Borges"/>
    <x v="0"/>
    <d v="2024-09-13T00:00:00"/>
    <x v="1"/>
    <n v="15"/>
    <x v="0"/>
    <x v="0"/>
    <x v="0"/>
    <s v="Yes"/>
    <n v="20"/>
    <n v="15"/>
    <x v="14"/>
  </r>
  <r>
    <n v="3432"/>
    <s v="Olivia Freitas"/>
    <x v="2"/>
    <d v="2024-09-14T00:00:00"/>
    <x v="0"/>
    <n v="10"/>
    <x v="1"/>
    <x v="1"/>
    <x v="1"/>
    <s v="Yes"/>
    <n v="20"/>
    <n v="15"/>
    <x v="7"/>
  </r>
  <r>
    <n v="3433"/>
    <s v="Paulo Nogueira"/>
    <x v="1"/>
    <d v="2024-09-15T00:00:00"/>
    <x v="1"/>
    <n v="5"/>
    <x v="0"/>
    <x v="1"/>
    <x v="1"/>
    <s v="No"/>
    <n v="0"/>
    <n v="1"/>
    <x v="4"/>
  </r>
  <r>
    <n v="3434"/>
    <s v="Raquel Andrade"/>
    <x v="0"/>
    <d v="2024-09-16T00:00:00"/>
    <x v="0"/>
    <n v="15"/>
    <x v="2"/>
    <x v="0"/>
    <x v="0"/>
    <s v="Yes"/>
    <n v="20"/>
    <n v="7"/>
    <x v="12"/>
  </r>
  <r>
    <n v="3435"/>
    <s v="Sônia Carvalho"/>
    <x v="2"/>
    <d v="2024-09-17T00:00:00"/>
    <x v="1"/>
    <n v="10"/>
    <x v="0"/>
    <x v="1"/>
    <x v="1"/>
    <s v="Yes"/>
    <n v="20"/>
    <n v="10"/>
    <x v="2"/>
  </r>
  <r>
    <n v="3436"/>
    <s v="Tiago Rodrigues"/>
    <x v="1"/>
    <d v="2024-09-18T00:00:00"/>
    <x v="0"/>
    <n v="5"/>
    <x v="0"/>
    <x v="1"/>
    <x v="1"/>
    <s v="No"/>
    <n v="0"/>
    <n v="0"/>
    <x v="1"/>
  </r>
  <r>
    <n v="3437"/>
    <s v="Ursula Monteiro"/>
    <x v="0"/>
    <d v="2024-09-19T00:00:00"/>
    <x v="1"/>
    <n v="15"/>
    <x v="2"/>
    <x v="0"/>
    <x v="0"/>
    <s v="Yes"/>
    <n v="20"/>
    <n v="7"/>
    <x v="12"/>
  </r>
  <r>
    <n v="3438"/>
    <s v="Vanessa Pereira"/>
    <x v="2"/>
    <d v="2024-09-20T00:00:00"/>
    <x v="0"/>
    <n v="10"/>
    <x v="1"/>
    <x v="1"/>
    <x v="1"/>
    <s v="Yes"/>
    <n v="20"/>
    <n v="10"/>
    <x v="2"/>
  </r>
  <r>
    <n v="3439"/>
    <s v="Walter Silva"/>
    <x v="1"/>
    <d v="2024-09-21T00:00:00"/>
    <x v="1"/>
    <n v="5"/>
    <x v="2"/>
    <x v="1"/>
    <x v="1"/>
    <s v="No"/>
    <n v="0"/>
    <n v="1"/>
    <x v="4"/>
  </r>
  <r>
    <n v="3440"/>
    <s v="Xavier Almeida"/>
    <x v="0"/>
    <d v="2024-09-22T00:00:00"/>
    <x v="0"/>
    <n v="15"/>
    <x v="0"/>
    <x v="0"/>
    <x v="0"/>
    <s v="Yes"/>
    <n v="20"/>
    <n v="15"/>
    <x v="14"/>
  </r>
  <r>
    <n v="3441"/>
    <s v="Yasmine Correia"/>
    <x v="2"/>
    <d v="2024-09-23T00:00:00"/>
    <x v="1"/>
    <n v="10"/>
    <x v="0"/>
    <x v="1"/>
    <x v="1"/>
    <s v="Yes"/>
    <n v="20"/>
    <n v="5"/>
    <x v="13"/>
  </r>
  <r>
    <n v="3442"/>
    <s v="Zacarias Almeida"/>
    <x v="1"/>
    <d v="2024-09-24T00:00:00"/>
    <x v="0"/>
    <n v="5"/>
    <x v="1"/>
    <x v="1"/>
    <x v="1"/>
    <s v="No"/>
    <n v="0"/>
    <n v="0"/>
    <x v="1"/>
  </r>
  <r>
    <n v="3443"/>
    <s v="Amanda Costa"/>
    <x v="0"/>
    <d v="2024-09-25T00:00:00"/>
    <x v="1"/>
    <n v="15"/>
    <x v="2"/>
    <x v="0"/>
    <x v="0"/>
    <s v="Yes"/>
    <n v="20"/>
    <n v="20"/>
    <x v="8"/>
  </r>
  <r>
    <n v="3444"/>
    <s v="Bruno Ferreira"/>
    <x v="2"/>
    <d v="2024-09-26T00:00:00"/>
    <x v="0"/>
    <n v="10"/>
    <x v="2"/>
    <x v="1"/>
    <x v="1"/>
    <s v="Yes"/>
    <n v="20"/>
    <n v="12"/>
    <x v="10"/>
  </r>
  <r>
    <n v="3445"/>
    <s v="Carla Dias"/>
    <x v="1"/>
    <d v="2024-09-27T00:00:00"/>
    <x v="1"/>
    <n v="5"/>
    <x v="0"/>
    <x v="1"/>
    <x v="1"/>
    <s v="No"/>
    <n v="0"/>
    <n v="2"/>
    <x v="11"/>
  </r>
  <r>
    <n v="3446"/>
    <s v="Diogo Martins"/>
    <x v="0"/>
    <d v="2024-09-28T00:00:00"/>
    <x v="0"/>
    <n v="15"/>
    <x v="1"/>
    <x v="0"/>
    <x v="0"/>
    <s v="Yes"/>
    <n v="20"/>
    <n v="5"/>
    <x v="0"/>
  </r>
  <r>
    <n v="3447"/>
    <s v="Elisa Campos"/>
    <x v="2"/>
    <d v="2024-09-29T00:00:00"/>
    <x v="1"/>
    <n v="10"/>
    <x v="0"/>
    <x v="1"/>
    <x v="1"/>
    <s v="Yes"/>
    <n v="20"/>
    <n v="10"/>
    <x v="2"/>
  </r>
  <r>
    <n v="3448"/>
    <s v="Fabiana Lima"/>
    <x v="1"/>
    <d v="2024-09-30T00:00:00"/>
    <x v="0"/>
    <n v="5"/>
    <x v="2"/>
    <x v="1"/>
    <x v="1"/>
    <s v="No"/>
    <n v="0"/>
    <n v="0"/>
    <x v="1"/>
  </r>
  <r>
    <n v="3449"/>
    <s v="Gabriel Santos"/>
    <x v="0"/>
    <d v="2024-10-01T00:00:00"/>
    <x v="1"/>
    <n v="15"/>
    <x v="0"/>
    <x v="0"/>
    <x v="0"/>
    <s v="Yes"/>
    <n v="20"/>
    <n v="3"/>
    <x v="3"/>
  </r>
  <r>
    <n v="3450"/>
    <s v="Helena Ferreira"/>
    <x v="2"/>
    <d v="2024-10-02T00:00:00"/>
    <x v="0"/>
    <n v="10"/>
    <x v="1"/>
    <x v="1"/>
    <x v="1"/>
    <s v="Yes"/>
    <n v="20"/>
    <n v="15"/>
    <x v="7"/>
  </r>
  <r>
    <n v="3451"/>
    <s v="Ígor Nunes"/>
    <x v="1"/>
    <d v="2024-10-03T00:00:00"/>
    <x v="1"/>
    <n v="5"/>
    <x v="0"/>
    <x v="1"/>
    <x v="1"/>
    <s v="No"/>
    <n v="0"/>
    <n v="1"/>
    <x v="4"/>
  </r>
  <r>
    <n v="3452"/>
    <s v="Joana Silveira"/>
    <x v="0"/>
    <d v="2024-10-04T00:00:00"/>
    <x v="0"/>
    <n v="15"/>
    <x v="2"/>
    <x v="0"/>
    <x v="0"/>
    <s v="Yes"/>
    <n v="20"/>
    <n v="7"/>
    <x v="12"/>
  </r>
  <r>
    <n v="3453"/>
    <s v="Kléber Oliveira"/>
    <x v="2"/>
    <d v="2024-10-05T00:00:00"/>
    <x v="1"/>
    <n v="10"/>
    <x v="0"/>
    <x v="1"/>
    <x v="1"/>
    <s v="Yes"/>
    <n v="20"/>
    <n v="10"/>
    <x v="2"/>
  </r>
  <r>
    <n v="3454"/>
    <s v="Luciana Morais"/>
    <x v="1"/>
    <d v="2024-10-06T00:00:00"/>
    <x v="0"/>
    <n v="5"/>
    <x v="1"/>
    <x v="1"/>
    <x v="1"/>
    <s v="No"/>
    <n v="0"/>
    <n v="0"/>
    <x v="1"/>
  </r>
  <r>
    <n v="3455"/>
    <s v="Marcos Vinícius"/>
    <x v="0"/>
    <d v="2024-10-07T00:00:00"/>
    <x v="1"/>
    <n v="15"/>
    <x v="0"/>
    <x v="0"/>
    <x v="0"/>
    <s v="Yes"/>
    <n v="20"/>
    <n v="20"/>
    <x v="8"/>
  </r>
  <r>
    <n v="3456"/>
    <s v="Natália Barros"/>
    <x v="2"/>
    <d v="2024-10-08T00:00:00"/>
    <x v="0"/>
    <n v="10"/>
    <x v="2"/>
    <x v="1"/>
    <x v="1"/>
    <s v="Yes"/>
    <n v="20"/>
    <n v="15"/>
    <x v="7"/>
  </r>
  <r>
    <n v="3457"/>
    <s v="Oscar Sampaio"/>
    <x v="1"/>
    <d v="2024-10-09T00:00:00"/>
    <x v="1"/>
    <n v="5"/>
    <x v="0"/>
    <x v="1"/>
    <x v="1"/>
    <s v="No"/>
    <n v="0"/>
    <n v="1"/>
    <x v="4"/>
  </r>
  <r>
    <n v="3458"/>
    <s v="Patrícia Leite"/>
    <x v="0"/>
    <d v="2024-10-10T00:00:00"/>
    <x v="0"/>
    <n v="15"/>
    <x v="1"/>
    <x v="0"/>
    <x v="0"/>
    <s v="Yes"/>
    <n v="20"/>
    <n v="3"/>
    <x v="3"/>
  </r>
  <r>
    <n v="3459"/>
    <s v="Quênia Rocha"/>
    <x v="2"/>
    <d v="2024-10-11T00:00:00"/>
    <x v="1"/>
    <n v="10"/>
    <x v="0"/>
    <x v="1"/>
    <x v="1"/>
    <s v="Yes"/>
    <n v="20"/>
    <n v="10"/>
    <x v="2"/>
  </r>
  <r>
    <n v="3460"/>
    <s v="Rafael Torres"/>
    <x v="1"/>
    <d v="2024-10-12T00:00:00"/>
    <x v="0"/>
    <n v="5"/>
    <x v="2"/>
    <x v="1"/>
    <x v="1"/>
    <s v="No"/>
    <n v="0"/>
    <n v="0"/>
    <x v="1"/>
  </r>
  <r>
    <n v="3461"/>
    <s v="Sandra Gouveia"/>
    <x v="0"/>
    <d v="2024-10-13T00:00:00"/>
    <x v="1"/>
    <n v="15"/>
    <x v="0"/>
    <x v="0"/>
    <x v="0"/>
    <s v="Yes"/>
    <n v="20"/>
    <n v="15"/>
    <x v="14"/>
  </r>
  <r>
    <n v="3462"/>
    <s v="Tiago Lacerda"/>
    <x v="2"/>
    <d v="2024-10-14T00:00:00"/>
    <x v="0"/>
    <n v="10"/>
    <x v="1"/>
    <x v="1"/>
    <x v="1"/>
    <s v="Yes"/>
    <n v="20"/>
    <n v="15"/>
    <x v="7"/>
  </r>
  <r>
    <n v="3463"/>
    <s v="Ursula Fonseca"/>
    <x v="1"/>
    <d v="2024-10-15T00:00:00"/>
    <x v="1"/>
    <n v="5"/>
    <x v="0"/>
    <x v="1"/>
    <x v="1"/>
    <s v="No"/>
    <n v="0"/>
    <n v="1"/>
    <x v="4"/>
  </r>
  <r>
    <n v="3464"/>
    <s v="Vanessa Andrade"/>
    <x v="0"/>
    <d v="2024-10-16T00:00:00"/>
    <x v="0"/>
    <n v="15"/>
    <x v="2"/>
    <x v="0"/>
    <x v="0"/>
    <s v="Yes"/>
    <n v="20"/>
    <n v="7"/>
    <x v="12"/>
  </r>
  <r>
    <n v="3465"/>
    <s v="William Castro"/>
    <x v="2"/>
    <d v="2024-10-17T00:00:00"/>
    <x v="1"/>
    <n v="10"/>
    <x v="0"/>
    <x v="1"/>
    <x v="1"/>
    <s v="Yes"/>
    <n v="20"/>
    <n v="10"/>
    <x v="2"/>
  </r>
  <r>
    <n v="3466"/>
    <s v="Xavier Monteiro"/>
    <x v="1"/>
    <d v="2024-10-18T00:00:00"/>
    <x v="0"/>
    <n v="5"/>
    <x v="1"/>
    <x v="1"/>
    <x v="1"/>
    <s v="No"/>
    <n v="0"/>
    <n v="0"/>
    <x v="1"/>
  </r>
  <r>
    <n v="3467"/>
    <s v="Yasmin Figueira"/>
    <x v="0"/>
    <d v="2024-10-19T00:00:00"/>
    <x v="1"/>
    <n v="15"/>
    <x v="0"/>
    <x v="0"/>
    <x v="0"/>
    <s v="Yes"/>
    <n v="20"/>
    <n v="15"/>
    <x v="14"/>
  </r>
  <r>
    <n v="3468"/>
    <s v="Zacarias Mendonça"/>
    <x v="2"/>
    <d v="2024-10-20T00:00:00"/>
    <x v="0"/>
    <n v="10"/>
    <x v="2"/>
    <x v="1"/>
    <x v="1"/>
    <s v="Yes"/>
    <n v="20"/>
    <n v="12"/>
    <x v="10"/>
  </r>
  <r>
    <n v="3469"/>
    <s v="Amanda Menezes"/>
    <x v="1"/>
    <d v="2024-10-21T00:00:00"/>
    <x v="1"/>
    <n v="5"/>
    <x v="0"/>
    <x v="1"/>
    <x v="1"/>
    <s v="No"/>
    <n v="0"/>
    <n v="2"/>
    <x v="11"/>
  </r>
  <r>
    <n v="3470"/>
    <s v="Bruno Santos"/>
    <x v="0"/>
    <d v="2024-10-22T00:00:00"/>
    <x v="0"/>
    <n v="15"/>
    <x v="1"/>
    <x v="0"/>
    <x v="0"/>
    <s v="Yes"/>
    <n v="20"/>
    <n v="5"/>
    <x v="0"/>
  </r>
  <r>
    <n v="3471"/>
    <s v="Carla Ferreira"/>
    <x v="2"/>
    <d v="2024-10-23T00:00:00"/>
    <x v="1"/>
    <n v="10"/>
    <x v="0"/>
    <x v="1"/>
    <x v="1"/>
    <s v="Yes"/>
    <n v="20"/>
    <n v="10"/>
    <x v="2"/>
  </r>
  <r>
    <n v="3472"/>
    <s v="Diogo Alves"/>
    <x v="1"/>
    <d v="2024-10-24T00:00:00"/>
    <x v="0"/>
    <n v="5"/>
    <x v="2"/>
    <x v="1"/>
    <x v="1"/>
    <s v="No"/>
    <n v="0"/>
    <n v="0"/>
    <x v="1"/>
  </r>
  <r>
    <n v="3473"/>
    <s v="Elisa Neves"/>
    <x v="0"/>
    <d v="2024-10-25T00:00:00"/>
    <x v="1"/>
    <n v="15"/>
    <x v="0"/>
    <x v="0"/>
    <x v="0"/>
    <s v="Yes"/>
    <n v="20"/>
    <n v="3"/>
    <x v="3"/>
  </r>
  <r>
    <n v="3474"/>
    <s v="Fabiano Pires"/>
    <x v="2"/>
    <d v="2024-10-26T00:00:00"/>
    <x v="0"/>
    <n v="10"/>
    <x v="1"/>
    <x v="1"/>
    <x v="1"/>
    <s v="Yes"/>
    <n v="20"/>
    <n v="15"/>
    <x v="7"/>
  </r>
  <r>
    <n v="3475"/>
    <s v="Giovana Ribeiro"/>
    <x v="1"/>
    <d v="2024-10-27T00:00:00"/>
    <x v="1"/>
    <n v="5"/>
    <x v="0"/>
    <x v="1"/>
    <x v="1"/>
    <s v="No"/>
    <n v="0"/>
    <n v="1"/>
    <x v="4"/>
  </r>
  <r>
    <n v="3476"/>
    <s v="Hélio Costa"/>
    <x v="0"/>
    <d v="2024-10-28T00:00:00"/>
    <x v="0"/>
    <n v="15"/>
    <x v="2"/>
    <x v="0"/>
    <x v="0"/>
    <s v="Yes"/>
    <n v="20"/>
    <n v="7"/>
    <x v="12"/>
  </r>
  <r>
    <n v="3477"/>
    <s v="Íris Loureiro"/>
    <x v="2"/>
    <d v="2024-10-29T00:00:00"/>
    <x v="1"/>
    <n v="10"/>
    <x v="0"/>
    <x v="1"/>
    <x v="1"/>
    <s v="Yes"/>
    <n v="20"/>
    <n v="10"/>
    <x v="2"/>
  </r>
  <r>
    <n v="3478"/>
    <s v="João Pereira"/>
    <x v="1"/>
    <d v="2024-10-30T00:00:00"/>
    <x v="0"/>
    <n v="5"/>
    <x v="1"/>
    <x v="1"/>
    <x v="1"/>
    <s v="No"/>
    <n v="0"/>
    <n v="0"/>
    <x v="1"/>
  </r>
  <r>
    <n v="3479"/>
    <s v="Klara Silva"/>
    <x v="0"/>
    <d v="2024-10-31T00:00:00"/>
    <x v="1"/>
    <n v="15"/>
    <x v="0"/>
    <x v="0"/>
    <x v="0"/>
    <s v="Yes"/>
    <n v="20"/>
    <n v="20"/>
    <x v="8"/>
  </r>
  <r>
    <n v="3480"/>
    <s v="Luciana Barros"/>
    <x v="2"/>
    <d v="2024-11-01T00:00:00"/>
    <x v="0"/>
    <n v="10"/>
    <x v="2"/>
    <x v="1"/>
    <x v="1"/>
    <s v="Yes"/>
    <n v="20"/>
    <n v="15"/>
    <x v="7"/>
  </r>
  <r>
    <n v="3481"/>
    <s v="Marcos Gomes"/>
    <x v="1"/>
    <d v="2024-11-02T00:00:00"/>
    <x v="1"/>
    <n v="5"/>
    <x v="0"/>
    <x v="1"/>
    <x v="1"/>
    <s v="No"/>
    <n v="0"/>
    <n v="1"/>
    <x v="4"/>
  </r>
  <r>
    <n v="3482"/>
    <s v="Natália Soares"/>
    <x v="0"/>
    <d v="2024-11-03T00:00:00"/>
    <x v="0"/>
    <n v="15"/>
    <x v="1"/>
    <x v="0"/>
    <x v="0"/>
    <s v="Yes"/>
    <n v="20"/>
    <n v="3"/>
    <x v="3"/>
  </r>
  <r>
    <n v="3483"/>
    <s v="Oscar Machado"/>
    <x v="2"/>
    <d v="2024-11-04T00:00:00"/>
    <x v="1"/>
    <n v="10"/>
    <x v="0"/>
    <x v="1"/>
    <x v="1"/>
    <s v="Yes"/>
    <n v="20"/>
    <n v="10"/>
    <x v="2"/>
  </r>
  <r>
    <n v="3484"/>
    <s v="Patrícia Lima"/>
    <x v="1"/>
    <d v="2024-11-05T00:00:00"/>
    <x v="0"/>
    <n v="5"/>
    <x v="2"/>
    <x v="1"/>
    <x v="1"/>
    <s v="No"/>
    <n v="0"/>
    <n v="0"/>
    <x v="1"/>
  </r>
  <r>
    <n v="3485"/>
    <s v="Quirino Neto"/>
    <x v="0"/>
    <d v="2024-11-06T00:00:00"/>
    <x v="1"/>
    <n v="15"/>
    <x v="0"/>
    <x v="0"/>
    <x v="0"/>
    <s v="Yes"/>
    <n v="20"/>
    <n v="15"/>
    <x v="14"/>
  </r>
  <r>
    <n v="3486"/>
    <s v="Rafaela Souza"/>
    <x v="1"/>
    <d v="2024-11-07T00:00:00"/>
    <x v="0"/>
    <n v="5"/>
    <x v="0"/>
    <x v="1"/>
    <x v="1"/>
    <s v="No"/>
    <n v="0"/>
    <n v="0"/>
    <x v="1"/>
  </r>
  <r>
    <n v="3487"/>
    <s v="Sandro Almeida"/>
    <x v="0"/>
    <d v="2024-11-08T00:00:00"/>
    <x v="1"/>
    <n v="15"/>
    <x v="2"/>
    <x v="0"/>
    <x v="0"/>
    <s v="Yes"/>
    <n v="20"/>
    <n v="7"/>
    <x v="12"/>
  </r>
  <r>
    <n v="3488"/>
    <s v="Tânia Ribeiro"/>
    <x v="2"/>
    <d v="2024-11-09T00:00:00"/>
    <x v="0"/>
    <n v="10"/>
    <x v="1"/>
    <x v="1"/>
    <x v="1"/>
    <s v="Yes"/>
    <n v="20"/>
    <n v="10"/>
    <x v="2"/>
  </r>
  <r>
    <n v="3489"/>
    <s v="Ugo Dias"/>
    <x v="1"/>
    <d v="2024-11-10T00:00:00"/>
    <x v="1"/>
    <n v="5"/>
    <x v="2"/>
    <x v="1"/>
    <x v="1"/>
    <s v="No"/>
    <n v="0"/>
    <n v="1"/>
    <x v="4"/>
  </r>
  <r>
    <n v="3490"/>
    <s v="Valéria Lima"/>
    <x v="0"/>
    <d v="2024-11-11T00:00:00"/>
    <x v="0"/>
    <n v="15"/>
    <x v="0"/>
    <x v="0"/>
    <x v="0"/>
    <s v="Yes"/>
    <n v="20"/>
    <n v="15"/>
    <x v="14"/>
  </r>
  <r>
    <n v="3491"/>
    <s v="William Fernandes"/>
    <x v="2"/>
    <d v="2024-11-12T00:00:00"/>
    <x v="1"/>
    <n v="10"/>
    <x v="0"/>
    <x v="1"/>
    <x v="1"/>
    <s v="Yes"/>
    <n v="20"/>
    <n v="5"/>
    <x v="13"/>
  </r>
  <r>
    <n v="3492"/>
    <s v="Xuxa Mendes"/>
    <x v="1"/>
    <d v="2024-11-13T00:00:00"/>
    <x v="0"/>
    <n v="5"/>
    <x v="1"/>
    <x v="1"/>
    <x v="1"/>
    <s v="No"/>
    <n v="0"/>
    <n v="0"/>
    <x v="1"/>
  </r>
  <r>
    <n v="3493"/>
    <s v="Ygor Farias"/>
    <x v="0"/>
    <d v="2024-11-14T00:00:00"/>
    <x v="1"/>
    <n v="15"/>
    <x v="2"/>
    <x v="0"/>
    <x v="0"/>
    <s v="Yes"/>
    <n v="20"/>
    <n v="20"/>
    <x v="8"/>
  </r>
  <r>
    <n v="3494"/>
    <s v="Zilda Barros"/>
    <x v="2"/>
    <d v="2024-11-15T00:00:00"/>
    <x v="0"/>
    <n v="10"/>
    <x v="2"/>
    <x v="1"/>
    <x v="1"/>
    <s v="Yes"/>
    <n v="20"/>
    <n v="12"/>
    <x v="10"/>
  </r>
  <r>
    <n v="3495"/>
    <s v="Amanda Santos"/>
    <x v="1"/>
    <d v="2024-11-16T00:00:00"/>
    <x v="1"/>
    <n v="5"/>
    <x v="0"/>
    <x v="1"/>
    <x v="1"/>
    <s v="No"/>
    <n v="0"/>
    <n v="2"/>
    <x v="11"/>
  </r>
  <r>
    <n v="3496"/>
    <s v="Bruno Costa"/>
    <x v="0"/>
    <d v="2024-11-17T00:00:00"/>
    <x v="0"/>
    <n v="15"/>
    <x v="1"/>
    <x v="0"/>
    <x v="0"/>
    <s v="Yes"/>
    <n v="20"/>
    <n v="5"/>
    <x v="0"/>
  </r>
  <r>
    <n v="3497"/>
    <s v="Carla Rodrigues"/>
    <x v="2"/>
    <d v="2024-11-18T00:00:00"/>
    <x v="1"/>
    <n v="10"/>
    <x v="0"/>
    <x v="1"/>
    <x v="1"/>
    <s v="Yes"/>
    <n v="20"/>
    <n v="10"/>
    <x v="2"/>
  </r>
  <r>
    <n v="3498"/>
    <s v="Diogo Pereira"/>
    <x v="1"/>
    <d v="2024-11-19T00:00:00"/>
    <x v="0"/>
    <n v="5"/>
    <x v="2"/>
    <x v="1"/>
    <x v="1"/>
    <s v="No"/>
    <n v="0"/>
    <n v="0"/>
    <x v="1"/>
  </r>
  <r>
    <n v="3499"/>
    <s v="Elisa Correia"/>
    <x v="0"/>
    <d v="2024-11-20T00:00:00"/>
    <x v="1"/>
    <n v="15"/>
    <x v="0"/>
    <x v="0"/>
    <x v="0"/>
    <s v="Yes"/>
    <n v="20"/>
    <n v="3"/>
    <x v="3"/>
  </r>
  <r>
    <n v="3500"/>
    <s v="Fábio Lourenço"/>
    <x v="2"/>
    <d v="2024-11-21T00:00:00"/>
    <x v="0"/>
    <n v="10"/>
    <x v="1"/>
    <x v="1"/>
    <x v="1"/>
    <s v="Yes"/>
    <n v="20"/>
    <n v="15"/>
    <x v="7"/>
  </r>
  <r>
    <n v="3501"/>
    <s v="Gabriela Neves"/>
    <x v="1"/>
    <d v="2024-11-22T00:00:00"/>
    <x v="1"/>
    <n v="5"/>
    <x v="0"/>
    <x v="1"/>
    <x v="1"/>
    <s v="No"/>
    <n v="0"/>
    <n v="1"/>
    <x v="4"/>
  </r>
  <r>
    <n v="3502"/>
    <s v="Henrique Gonçalves"/>
    <x v="0"/>
    <d v="2024-11-23T00:00:00"/>
    <x v="0"/>
    <n v="15"/>
    <x v="2"/>
    <x v="0"/>
    <x v="0"/>
    <s v="Yes"/>
    <n v="20"/>
    <n v="7"/>
    <x v="12"/>
  </r>
  <r>
    <n v="3503"/>
    <s v="Íris Santos"/>
    <x v="2"/>
    <d v="2024-11-24T00:00:00"/>
    <x v="1"/>
    <n v="10"/>
    <x v="0"/>
    <x v="1"/>
    <x v="1"/>
    <s v="Yes"/>
    <n v="20"/>
    <n v="10"/>
    <x v="2"/>
  </r>
  <r>
    <n v="3504"/>
    <s v="João Marcelo Alves"/>
    <x v="1"/>
    <d v="2024-11-25T00:00:00"/>
    <x v="0"/>
    <n v="5"/>
    <x v="1"/>
    <x v="1"/>
    <x v="1"/>
    <s v="No"/>
    <n v="0"/>
    <n v="0"/>
    <x v="1"/>
  </r>
  <r>
    <n v="3505"/>
    <s v="Klara Fonseca"/>
    <x v="0"/>
    <d v="2024-11-26T00:00:00"/>
    <x v="1"/>
    <n v="15"/>
    <x v="0"/>
    <x v="0"/>
    <x v="0"/>
    <s v="Yes"/>
    <n v="20"/>
    <n v="20"/>
    <x v="8"/>
  </r>
  <r>
    <n v="3506"/>
    <s v="Lucas Mendonça"/>
    <x v="2"/>
    <d v="2024-11-27T00:00:00"/>
    <x v="0"/>
    <n v="10"/>
    <x v="2"/>
    <x v="1"/>
    <x v="1"/>
    <s v="Yes"/>
    <n v="20"/>
    <n v="15"/>
    <x v="7"/>
  </r>
  <r>
    <n v="3507"/>
    <s v="Marcela Torres"/>
    <x v="1"/>
    <d v="2024-11-28T00:00:00"/>
    <x v="1"/>
    <n v="5"/>
    <x v="0"/>
    <x v="1"/>
    <x v="1"/>
    <s v="No"/>
    <n v="0"/>
    <n v="1"/>
    <x v="4"/>
  </r>
  <r>
    <n v="3508"/>
    <s v="Natália Castro"/>
    <x v="0"/>
    <d v="2024-11-29T00:00:00"/>
    <x v="0"/>
    <n v="15"/>
    <x v="1"/>
    <x v="0"/>
    <x v="0"/>
    <s v="Yes"/>
    <n v="20"/>
    <n v="3"/>
    <x v="3"/>
  </r>
  <r>
    <n v="3509"/>
    <s v="Oscar Martins"/>
    <x v="2"/>
    <d v="2024-11-30T00:00:00"/>
    <x v="1"/>
    <n v="10"/>
    <x v="0"/>
    <x v="1"/>
    <x v="1"/>
    <s v="Yes"/>
    <n v="20"/>
    <n v="10"/>
    <x v="2"/>
  </r>
  <r>
    <n v="3510"/>
    <s v="Patrícia Oliveira"/>
    <x v="1"/>
    <d v="2024-12-01T00:00:00"/>
    <x v="0"/>
    <n v="5"/>
    <x v="2"/>
    <x v="1"/>
    <x v="1"/>
    <s v="No"/>
    <n v="0"/>
    <n v="0"/>
    <x v="1"/>
  </r>
  <r>
    <n v="3511"/>
    <s v="Quentin Nogueira"/>
    <x v="0"/>
    <d v="2024-12-02T00:00:00"/>
    <x v="1"/>
    <n v="15"/>
    <x v="0"/>
    <x v="0"/>
    <x v="0"/>
    <s v="Yes"/>
    <n v="20"/>
    <n v="15"/>
    <x v="14"/>
  </r>
  <r>
    <n v="3512"/>
    <s v="Raquel Silva"/>
    <x v="2"/>
    <d v="2024-12-03T00:00:00"/>
    <x v="0"/>
    <n v="10"/>
    <x v="1"/>
    <x v="1"/>
    <x v="1"/>
    <s v="Yes"/>
    <n v="20"/>
    <n v="15"/>
    <x v="7"/>
  </r>
  <r>
    <n v="3513"/>
    <s v="Sandro Gomes"/>
    <x v="1"/>
    <d v="2024-12-04T00:00:00"/>
    <x v="1"/>
    <n v="5"/>
    <x v="0"/>
    <x v="1"/>
    <x v="1"/>
    <s v="No"/>
    <n v="0"/>
    <n v="1"/>
    <x v="4"/>
  </r>
  <r>
    <n v="3514"/>
    <s v="Tânia Machado"/>
    <x v="0"/>
    <d v="2024-12-05T00:00:00"/>
    <x v="0"/>
    <n v="15"/>
    <x v="2"/>
    <x v="0"/>
    <x v="0"/>
    <s v="Yes"/>
    <n v="20"/>
    <n v="7"/>
    <x v="12"/>
  </r>
  <r>
    <n v="3515"/>
    <s v="Ursula Silva"/>
    <x v="2"/>
    <d v="2024-12-06T00:00:00"/>
    <x v="1"/>
    <n v="10"/>
    <x v="0"/>
    <x v="1"/>
    <x v="1"/>
    <s v="Yes"/>
    <n v="20"/>
    <n v="10"/>
    <x v="2"/>
  </r>
  <r>
    <n v="3516"/>
    <s v="Vanessa Moraes"/>
    <x v="1"/>
    <d v="2024-12-07T00:00:00"/>
    <x v="0"/>
    <n v="5"/>
    <x v="1"/>
    <x v="1"/>
    <x v="1"/>
    <s v="No"/>
    <n v="0"/>
    <n v="0"/>
    <x v="1"/>
  </r>
  <r>
    <n v="3517"/>
    <s v="William Carvalho"/>
    <x v="0"/>
    <d v="2024-12-08T00:00:00"/>
    <x v="1"/>
    <n v="15"/>
    <x v="0"/>
    <x v="0"/>
    <x v="0"/>
    <s v="Yes"/>
    <n v="20"/>
    <n v="20"/>
    <x v="8"/>
  </r>
  <r>
    <n v="3518"/>
    <s v="Xavier Reis"/>
    <x v="2"/>
    <d v="2024-12-09T00:00:00"/>
    <x v="0"/>
    <n v="10"/>
    <x v="2"/>
    <x v="1"/>
    <x v="1"/>
    <s v="Yes"/>
    <n v="20"/>
    <n v="12"/>
    <x v="10"/>
  </r>
  <r>
    <n v="3519"/>
    <s v="Yasmin Rocha"/>
    <x v="1"/>
    <d v="2024-12-10T00:00:00"/>
    <x v="1"/>
    <n v="5"/>
    <x v="0"/>
    <x v="1"/>
    <x v="1"/>
    <s v="No"/>
    <n v="0"/>
    <n v="2"/>
    <x v="11"/>
  </r>
  <r>
    <n v="3520"/>
    <s v="Zacarias Duarte"/>
    <x v="0"/>
    <d v="2024-12-11T00:00:00"/>
    <x v="0"/>
    <n v="15"/>
    <x v="1"/>
    <x v="0"/>
    <x v="0"/>
    <s v="Yes"/>
    <n v="20"/>
    <n v="5"/>
    <x v="0"/>
  </r>
  <r>
    <n v="3521"/>
    <s v="Amanda Freitas"/>
    <x v="2"/>
    <d v="2024-12-12T00:00:00"/>
    <x v="1"/>
    <n v="10"/>
    <x v="0"/>
    <x v="1"/>
    <x v="1"/>
    <s v="Yes"/>
    <n v="20"/>
    <n v="10"/>
    <x v="2"/>
  </r>
  <r>
    <n v="3522"/>
    <s v="Bruno Almeida"/>
    <x v="1"/>
    <d v="2024-12-13T00:00:00"/>
    <x v="0"/>
    <n v="5"/>
    <x v="2"/>
    <x v="1"/>
    <x v="1"/>
    <s v="No"/>
    <n v="0"/>
    <n v="0"/>
    <x v="1"/>
  </r>
  <r>
    <n v="3523"/>
    <s v="Carla Siqueira"/>
    <x v="0"/>
    <d v="2024-12-14T00:00:00"/>
    <x v="1"/>
    <n v="15"/>
    <x v="0"/>
    <x v="0"/>
    <x v="0"/>
    <s v="Yes"/>
    <n v="20"/>
    <n v="3"/>
    <x v="3"/>
  </r>
  <r>
    <n v="3524"/>
    <s v="Diogo Ramos"/>
    <x v="2"/>
    <d v="2024-12-15T00:00:00"/>
    <x v="0"/>
    <n v="10"/>
    <x v="1"/>
    <x v="1"/>
    <x v="1"/>
    <s v="Yes"/>
    <n v="20"/>
    <n v="15"/>
    <x v="7"/>
  </r>
  <r>
    <n v="3525"/>
    <s v="Elisa Magalhães"/>
    <x v="1"/>
    <d v="2024-12-16T00:00:00"/>
    <x v="1"/>
    <n v="5"/>
    <x v="0"/>
    <x v="1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F7F86-D17D-4E79-B077-5C7050A6E4B1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2:C2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7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190ED-D3EC-4BB3-8C58-F18B528393E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1:C14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formats count="1">
    <format dxfId="1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B8045-1C5C-4227-AA1D-DA22F713E9BB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1:C3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CBB6C60-99E2-49C4-876F-BB7C37CB6674}" sourceName="Subscription Type">
  <pivotTables>
    <pivotTable tabId="3" name="Tabela dinâmica1"/>
    <pivotTable tabId="3" name="Tabela dinâmica2"/>
    <pivotTable tabId="3" name="Tabela dinâmica4"/>
  </pivotTables>
  <data>
    <tabular pivotCacheId="151094834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C25A7FE-950B-460B-B4C1-DF5543F30478}" cache="SegmentaçãodeDados_Subscription_Type" caption="Subscription Type" style="SlicerStyleDark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G1" zoomScale="90" zoomScaleNormal="90" workbookViewId="0">
      <selection sqref="A1:M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9:F35"/>
  <sheetViews>
    <sheetView showGridLines="0" workbookViewId="0">
      <selection activeCell="F35" sqref="F35"/>
    </sheetView>
  </sheetViews>
  <sheetFormatPr defaultRowHeight="15" x14ac:dyDescent="0.25"/>
  <cols>
    <col min="2" max="2" width="18.42578125" bestFit="1" customWidth="1"/>
    <col min="3" max="3" width="27.7109375" bestFit="1" customWidth="1"/>
    <col min="4" max="4" width="35.1406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9" spans="2:3" x14ac:dyDescent="0.25">
      <c r="B9" s="12" t="s">
        <v>16</v>
      </c>
      <c r="C9" t="s">
        <v>24</v>
      </c>
    </row>
    <row r="11" spans="2:3" x14ac:dyDescent="0.25">
      <c r="B11" s="12" t="s">
        <v>314</v>
      </c>
      <c r="C11" t="s">
        <v>313</v>
      </c>
    </row>
    <row r="12" spans="2:3" x14ac:dyDescent="0.25">
      <c r="B12" s="13" t="s">
        <v>23</v>
      </c>
      <c r="C12" s="14">
        <v>217</v>
      </c>
    </row>
    <row r="13" spans="2:3" x14ac:dyDescent="0.25">
      <c r="B13" s="13" t="s">
        <v>19</v>
      </c>
      <c r="C13" s="14">
        <v>1537</v>
      </c>
    </row>
    <row r="14" spans="2:3" x14ac:dyDescent="0.25">
      <c r="B14" s="13" t="s">
        <v>315</v>
      </c>
      <c r="C14" s="14">
        <v>1754</v>
      </c>
    </row>
    <row r="20" spans="2:6" x14ac:dyDescent="0.25">
      <c r="B20" s="12" t="s">
        <v>16</v>
      </c>
      <c r="C20" t="s">
        <v>24</v>
      </c>
    </row>
    <row r="21" spans="2:6" x14ac:dyDescent="0.25">
      <c r="F21" s="17"/>
    </row>
    <row r="22" spans="2:6" x14ac:dyDescent="0.25">
      <c r="B22" s="12" t="s">
        <v>314</v>
      </c>
      <c r="C22" t="s">
        <v>317</v>
      </c>
    </row>
    <row r="23" spans="2:6" x14ac:dyDescent="0.25">
      <c r="B23" s="13" t="s">
        <v>22</v>
      </c>
      <c r="C23" s="14">
        <v>0</v>
      </c>
      <c r="F23" s="17"/>
    </row>
    <row r="24" spans="2:6" x14ac:dyDescent="0.25">
      <c r="B24" s="13" t="s">
        <v>26</v>
      </c>
      <c r="C24" s="14">
        <v>0</v>
      </c>
    </row>
    <row r="25" spans="2:6" x14ac:dyDescent="0.25">
      <c r="B25" s="13" t="s">
        <v>18</v>
      </c>
      <c r="C25" s="14">
        <v>600</v>
      </c>
    </row>
    <row r="26" spans="2:6" x14ac:dyDescent="0.25">
      <c r="B26" s="13" t="s">
        <v>315</v>
      </c>
      <c r="C26" s="14">
        <v>600</v>
      </c>
      <c r="F26" s="14">
        <f>GETPIVOTDATA("EA Play Season Pass
Price",$B$22)</f>
        <v>600</v>
      </c>
    </row>
    <row r="29" spans="2:6" x14ac:dyDescent="0.25">
      <c r="B29" s="12" t="s">
        <v>16</v>
      </c>
      <c r="C29" t="s">
        <v>24</v>
      </c>
    </row>
    <row r="31" spans="2:6" x14ac:dyDescent="0.25">
      <c r="B31" s="12" t="s">
        <v>314</v>
      </c>
      <c r="C31" t="s">
        <v>318</v>
      </c>
    </row>
    <row r="32" spans="2:6" x14ac:dyDescent="0.25">
      <c r="B32" s="13" t="s">
        <v>22</v>
      </c>
      <c r="C32" s="14">
        <v>0</v>
      </c>
    </row>
    <row r="33" spans="2:6" x14ac:dyDescent="0.25">
      <c r="B33" s="13" t="s">
        <v>26</v>
      </c>
      <c r="C33" s="14">
        <v>540</v>
      </c>
    </row>
    <row r="34" spans="2:6" x14ac:dyDescent="0.25">
      <c r="B34" s="13" t="s">
        <v>18</v>
      </c>
      <c r="C34" s="14">
        <v>400</v>
      </c>
    </row>
    <row r="35" spans="2:6" x14ac:dyDescent="0.25">
      <c r="B35" s="13" t="s">
        <v>315</v>
      </c>
      <c r="C35" s="14">
        <v>940</v>
      </c>
      <c r="F35" s="14">
        <f>GETPIVOTDATA("Minecraft Season Pass Price",$B$31)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V7"/>
  <sheetViews>
    <sheetView showGridLines="0" tabSelected="1" zoomScale="59" zoomScaleNormal="59" workbookViewId="0">
      <selection activeCell="Q52" sqref="Q52"/>
    </sheetView>
  </sheetViews>
  <sheetFormatPr defaultRowHeight="15" x14ac:dyDescent="0.25"/>
  <cols>
    <col min="1" max="1" width="30.85546875" style="4" customWidth="1"/>
    <col min="2" max="2" width="3.5703125" style="15" customWidth="1"/>
    <col min="3" max="3" width="9.140625" style="15"/>
    <col min="4" max="4" width="11.140625" style="15" customWidth="1"/>
    <col min="5" max="11" width="9.140625" style="15"/>
    <col min="12" max="12" width="6.5703125" style="15" customWidth="1"/>
    <col min="13" max="16384" width="9.140625" style="15"/>
  </cols>
  <sheetData>
    <row r="1" spans="1:22" customFormat="1" x14ac:dyDescent="0.25">
      <c r="A1" s="4"/>
    </row>
    <row r="2" spans="1:22" customFormat="1" ht="39" customHeight="1" thickBot="1" x14ac:dyDescent="0.45">
      <c r="A2" s="4"/>
      <c r="C2" s="18"/>
      <c r="D2" s="16" t="s">
        <v>316</v>
      </c>
      <c r="E2" s="16"/>
      <c r="F2" s="16"/>
      <c r="G2" s="16"/>
      <c r="H2" s="16"/>
      <c r="I2" s="16"/>
      <c r="J2" s="16"/>
      <c r="K2" s="16"/>
      <c r="L2" s="16"/>
      <c r="M2" s="16"/>
      <c r="N2" s="18"/>
      <c r="O2" s="18"/>
      <c r="P2" s="18"/>
      <c r="Q2" s="18"/>
      <c r="R2" s="18"/>
      <c r="S2" s="18"/>
      <c r="T2" s="18"/>
      <c r="U2" s="18"/>
      <c r="V2" s="18"/>
    </row>
    <row r="3" spans="1:22" customFormat="1" ht="8.25" customHeight="1" thickTop="1" x14ac:dyDescent="0.25">
      <c r="A3" s="4"/>
    </row>
    <row r="4" spans="1:22" ht="7.5" customHeight="1" x14ac:dyDescent="0.25"/>
    <row r="5" spans="1:22" ht="10.5" customHeight="1" x14ac:dyDescent="0.25"/>
    <row r="6" spans="1:22" ht="9.75" customHeight="1" x14ac:dyDescent="0.25"/>
    <row r="7" spans="1:22" ht="33" customHeigh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Mateus Queiroz</cp:lastModifiedBy>
  <dcterms:created xsi:type="dcterms:W3CDTF">2024-12-19T13:13:10Z</dcterms:created>
  <dcterms:modified xsi:type="dcterms:W3CDTF">2026-10-19T02:18:56Z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